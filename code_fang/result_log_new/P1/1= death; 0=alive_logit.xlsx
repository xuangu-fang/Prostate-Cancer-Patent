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group_sparse_selection\code_fang\result_log_new\P1\"/>
    </mc:Choice>
  </mc:AlternateContent>
  <xr:revisionPtr revIDLastSave="0" documentId="13_ncr:1_{A39A3AED-4963-4930-BCAF-3777A46286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ean" sheetId="1" r:id="rId1"/>
    <sheet name="std" sheetId="2" r:id="rId2"/>
    <sheet name="Sheet1" sheetId="3" r:id="rId3"/>
  </sheets>
  <externalReferences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6" i="3" l="1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F3" i="3"/>
  <c r="E3" i="3"/>
  <c r="D3" i="3"/>
  <c r="C3" i="3"/>
  <c r="B3" i="3"/>
  <c r="F2" i="3"/>
  <c r="E2" i="3"/>
  <c r="D2" i="3"/>
  <c r="C2" i="3"/>
  <c r="B2" i="3"/>
</calcChain>
</file>

<file path=xl/sharedStrings.xml><?xml version="1.0" encoding="utf-8"?>
<sst xmlns="http://schemas.openxmlformats.org/spreadsheetml/2006/main" count="63" uniqueCount="22">
  <si>
    <t>accuracy</t>
  </si>
  <si>
    <t>auc</t>
  </si>
  <si>
    <t>precision</t>
  </si>
  <si>
    <t>recall</t>
  </si>
  <si>
    <t>specificity</t>
  </si>
  <si>
    <t>NPV</t>
  </si>
  <si>
    <t>gene</t>
  </si>
  <si>
    <t>TG</t>
  </si>
  <si>
    <t>Cer</t>
  </si>
  <si>
    <t>DG</t>
  </si>
  <si>
    <t>gene_TG</t>
  </si>
  <si>
    <t>gene_Cer</t>
  </si>
  <si>
    <t>gene_DG</t>
  </si>
  <si>
    <t>TG_Cer</t>
  </si>
  <si>
    <t>TG_DG</t>
  </si>
  <si>
    <t>DG_Cer</t>
  </si>
  <si>
    <t>gene_TG_Cer</t>
  </si>
  <si>
    <t>gene_TG_DG</t>
  </si>
  <si>
    <t>gene_DG_Cer</t>
  </si>
  <si>
    <t>TG_Cer_DG</t>
  </si>
  <si>
    <t>gene_TG_Cer_DG</t>
  </si>
  <si>
    <t>features/metric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</si>
</sst>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=%20death;%200=alive_logit_lass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n"/>
      <sheetName val="std"/>
      <sheetName val="Sheet1"/>
    </sheetNames>
    <sheetDataSet>
      <sheetData sheetId="0">
        <row r="2">
          <cell r="B2">
            <v>0.46266666666666673</v>
          </cell>
          <cell r="C2">
            <v>0.56885301999587712</v>
          </cell>
          <cell r="D2">
            <v>0.69047619047619047</v>
          </cell>
          <cell r="E2">
            <v>0.39130158730158732</v>
          </cell>
          <cell r="F2">
            <v>0.71352380952380956</v>
          </cell>
        </row>
        <row r="3">
          <cell r="B3">
            <v>0.43771428571428561</v>
          </cell>
          <cell r="C3">
            <v>0.40352347969490832</v>
          </cell>
          <cell r="D3">
            <v>0.45639682539682552</v>
          </cell>
          <cell r="E3">
            <v>0.46436507936507931</v>
          </cell>
          <cell r="F3">
            <v>0.41437229437229439</v>
          </cell>
        </row>
        <row r="4">
          <cell r="B4">
            <v>0.64247619047619042</v>
          </cell>
          <cell r="C4">
            <v>0.68290051535765817</v>
          </cell>
          <cell r="D4">
            <v>0.64786724386724381</v>
          </cell>
          <cell r="E4">
            <v>0.72031746031746025</v>
          </cell>
          <cell r="F4">
            <v>0.59648196248196261</v>
          </cell>
        </row>
        <row r="5">
          <cell r="B5">
            <v>0.53600000000000003</v>
          </cell>
          <cell r="C5">
            <v>0.56311681096681099</v>
          </cell>
          <cell r="D5">
            <v>0.54625974025974033</v>
          </cell>
          <cell r="E5">
            <v>0.55325396825396822</v>
          </cell>
          <cell r="F5">
            <v>0.536979797979798</v>
          </cell>
        </row>
        <row r="6">
          <cell r="B6">
            <v>0.43771428571428572</v>
          </cell>
          <cell r="C6">
            <v>0.39825852401566691</v>
          </cell>
          <cell r="D6">
            <v>0.45195238095238099</v>
          </cell>
          <cell r="E6">
            <v>0.46436507936507931</v>
          </cell>
          <cell r="F6">
            <v>0.40937229437229439</v>
          </cell>
        </row>
        <row r="7">
          <cell r="B7">
            <v>0.63961904761904764</v>
          </cell>
          <cell r="C7">
            <v>0.68043913969628256</v>
          </cell>
          <cell r="D7">
            <v>0.64596248196248196</v>
          </cell>
          <cell r="E7">
            <v>0.71365079365079365</v>
          </cell>
          <cell r="F7">
            <v>0.59648196248196261</v>
          </cell>
        </row>
        <row r="8">
          <cell r="B8">
            <v>0.55542857142857138</v>
          </cell>
          <cell r="C8">
            <v>0.58899408712980139</v>
          </cell>
          <cell r="D8">
            <v>0.5676984126984127</v>
          </cell>
          <cell r="E8">
            <v>0.57912698412698416</v>
          </cell>
          <cell r="F8">
            <v>0.54758297258297262</v>
          </cell>
        </row>
        <row r="9">
          <cell r="B9">
            <v>0.54819047619047612</v>
          </cell>
          <cell r="C9">
            <v>0.58313657665086238</v>
          </cell>
          <cell r="D9">
            <v>0.56266089466089464</v>
          </cell>
          <cell r="E9">
            <v>0.56095238095238087</v>
          </cell>
          <cell r="F9">
            <v>0.55699855699855705</v>
          </cell>
        </row>
        <row r="10">
          <cell r="B10">
            <v>0.47428571428571431</v>
          </cell>
          <cell r="C10">
            <v>0.46745163883735308</v>
          </cell>
          <cell r="D10">
            <v>0.50551370851370847</v>
          </cell>
          <cell r="E10">
            <v>0.502</v>
          </cell>
          <cell r="F10">
            <v>0.45670707070707078</v>
          </cell>
        </row>
        <row r="11">
          <cell r="B11">
            <v>0.67780952380952397</v>
          </cell>
          <cell r="C11">
            <v>0.74440605373462498</v>
          </cell>
          <cell r="D11">
            <v>0.6702539682539681</v>
          </cell>
          <cell r="E11">
            <v>0.737079365079365</v>
          </cell>
          <cell r="F11">
            <v>0.64180952380952383</v>
          </cell>
        </row>
        <row r="12">
          <cell r="B12">
            <v>0.54533333333333334</v>
          </cell>
          <cell r="C12">
            <v>0.58094667766096342</v>
          </cell>
          <cell r="D12">
            <v>0.55732756132756134</v>
          </cell>
          <cell r="E12">
            <v>0.54761904761904756</v>
          </cell>
          <cell r="F12">
            <v>0.55699855699855705</v>
          </cell>
        </row>
        <row r="13">
          <cell r="B13">
            <v>0.47695238095238102</v>
          </cell>
          <cell r="C13">
            <v>0.46994944684944678</v>
          </cell>
          <cell r="D13">
            <v>0.50733189033189041</v>
          </cell>
          <cell r="E13">
            <v>0.50700000000000001</v>
          </cell>
          <cell r="F13">
            <v>0.45670707070707078</v>
          </cell>
        </row>
        <row r="14">
          <cell r="B14">
            <v>0.68476190476190479</v>
          </cell>
          <cell r="C14">
            <v>0.7541363636363636</v>
          </cell>
          <cell r="D14">
            <v>0.66739682539682532</v>
          </cell>
          <cell r="E14">
            <v>0.72965079365079344</v>
          </cell>
          <cell r="F14">
            <v>0.64180952380952383</v>
          </cell>
        </row>
        <row r="15">
          <cell r="B15">
            <v>0.56247619047619057</v>
          </cell>
          <cell r="C15">
            <v>0.63127947502233217</v>
          </cell>
          <cell r="D15">
            <v>0.59782539682539682</v>
          </cell>
          <cell r="E15">
            <v>0.55649206349206348</v>
          </cell>
          <cell r="F15">
            <v>0.58190331890331881</v>
          </cell>
        </row>
        <row r="16">
          <cell r="B16">
            <v>0.55961904761904768</v>
          </cell>
          <cell r="C16">
            <v>0.63214614168899874</v>
          </cell>
          <cell r="D16">
            <v>0.59182539682539681</v>
          </cell>
          <cell r="E16">
            <v>0.55649206349206348</v>
          </cell>
          <cell r="F16">
            <v>0.57618903318903314</v>
          </cell>
        </row>
      </sheetData>
      <sheetData sheetId="1">
        <row r="2">
          <cell r="B2">
            <v>3.5079436902892731E-2</v>
          </cell>
          <cell r="C2">
            <v>8.2320240636056339E-3</v>
          </cell>
          <cell r="D2">
            <v>6.324107135854018E-2</v>
          </cell>
          <cell r="E2">
            <v>8.5102693881691491E-2</v>
          </cell>
          <cell r="F2">
            <v>6.6042657828567344E-2</v>
          </cell>
        </row>
        <row r="3">
          <cell r="B3">
            <v>4.7407147580542743E-2</v>
          </cell>
          <cell r="C3">
            <v>6.666591159037244E-2</v>
          </cell>
          <cell r="D3">
            <v>5.263857403025396E-2</v>
          </cell>
          <cell r="E3">
            <v>5.9864054017973609E-2</v>
          </cell>
          <cell r="F3">
            <v>6.3022847247058159E-2</v>
          </cell>
        </row>
        <row r="4">
          <cell r="B4">
            <v>2.138726176924936E-2</v>
          </cell>
          <cell r="C4">
            <v>1.086577171798906E-2</v>
          </cell>
          <cell r="D4">
            <v>2.212631839680762E-2</v>
          </cell>
          <cell r="E4">
            <v>6.4433789876925246E-2</v>
          </cell>
          <cell r="F4">
            <v>4.9666856563599787E-2</v>
          </cell>
        </row>
        <row r="5">
          <cell r="B5">
            <v>2.6923929118605121E-2</v>
          </cell>
          <cell r="C5">
            <v>2.9861528784694901E-2</v>
          </cell>
          <cell r="D5">
            <v>6.1036288741355783E-2</v>
          </cell>
          <cell r="E5">
            <v>7.6513184796607611E-2</v>
          </cell>
          <cell r="F5">
            <v>4.0897366305583792E-2</v>
          </cell>
        </row>
        <row r="6">
          <cell r="B6">
            <v>5.3284841901025039E-2</v>
          </cell>
          <cell r="C6">
            <v>6.3708777039115677E-2</v>
          </cell>
          <cell r="D6">
            <v>5.6932997577432462E-2</v>
          </cell>
          <cell r="E6">
            <v>5.9864054017973609E-2</v>
          </cell>
          <cell r="F6">
            <v>7.8803391508368889E-2</v>
          </cell>
        </row>
        <row r="7">
          <cell r="B7">
            <v>2.148247189313781E-2</v>
          </cell>
          <cell r="C7">
            <v>7.3598000532708093E-3</v>
          </cell>
          <cell r="D7">
            <v>2.2263623448008831E-2</v>
          </cell>
          <cell r="E7">
            <v>6.3731987164662163E-2</v>
          </cell>
          <cell r="F7">
            <v>4.9666856563599787E-2</v>
          </cell>
        </row>
        <row r="8">
          <cell r="B8">
            <v>3.4189017079888237E-2</v>
          </cell>
          <cell r="C8">
            <v>1.79917897129079E-2</v>
          </cell>
          <cell r="D8">
            <v>6.3079587756534938E-2</v>
          </cell>
          <cell r="E8">
            <v>9.7907481356215881E-2</v>
          </cell>
          <cell r="F8">
            <v>2.5549655760789991E-2</v>
          </cell>
        </row>
        <row r="9">
          <cell r="B9">
            <v>1.01149851789347E-2</v>
          </cell>
          <cell r="C9">
            <v>1.462757569199459E-2</v>
          </cell>
          <cell r="D9">
            <v>1.267675576809902E-2</v>
          </cell>
          <cell r="E9">
            <v>4.8182480201180163E-2</v>
          </cell>
          <cell r="F9">
            <v>3.5623788151426881E-2</v>
          </cell>
        </row>
        <row r="10">
          <cell r="B10">
            <v>1.9166296949998191E-2</v>
          </cell>
          <cell r="C10">
            <v>5.3425899113635718E-2</v>
          </cell>
          <cell r="D10">
            <v>4.8498716171966223E-2</v>
          </cell>
          <cell r="E10">
            <v>5.6870448577365569E-2</v>
          </cell>
          <cell r="F10">
            <v>3.4281141439574607E-2</v>
          </cell>
        </row>
        <row r="11">
          <cell r="B11">
            <v>1.9088052323288481E-2</v>
          </cell>
          <cell r="C11">
            <v>2.0723991324352091E-2</v>
          </cell>
          <cell r="D11">
            <v>9.7993217611775374E-3</v>
          </cell>
          <cell r="E11">
            <v>4.5981958570545572E-2</v>
          </cell>
          <cell r="F11">
            <v>3.956327953368987E-2</v>
          </cell>
        </row>
        <row r="12">
          <cell r="B12">
            <v>1.5787707264839732E-2</v>
          </cell>
          <cell r="C12">
            <v>1.0543369473411659E-2</v>
          </cell>
          <cell r="D12">
            <v>2.0474594875428648E-2</v>
          </cell>
          <cell r="E12">
            <v>5.1525573569543612E-2</v>
          </cell>
          <cell r="F12">
            <v>3.5623788151426881E-2</v>
          </cell>
        </row>
        <row r="13">
          <cell r="B13">
            <v>1.8594613122843079E-2</v>
          </cell>
          <cell r="C13">
            <v>5.2110533497892832E-2</v>
          </cell>
          <cell r="D13">
            <v>5.1731405607812142E-2</v>
          </cell>
          <cell r="E13">
            <v>5.9619510368912589E-2</v>
          </cell>
          <cell r="F13">
            <v>3.4281141439574607E-2</v>
          </cell>
        </row>
        <row r="14">
          <cell r="B14">
            <v>8.0249045458822797E-3</v>
          </cell>
          <cell r="C14">
            <v>2.4984606903838712E-2</v>
          </cell>
          <cell r="D14">
            <v>1.220086776009267E-2</v>
          </cell>
          <cell r="E14">
            <v>3.2436372974812527E-2</v>
          </cell>
          <cell r="F14">
            <v>3.956327953368987E-2</v>
          </cell>
        </row>
        <row r="15">
          <cell r="B15">
            <v>2.9643383051368391E-2</v>
          </cell>
          <cell r="C15">
            <v>2.855900359530612E-2</v>
          </cell>
          <cell r="D15">
            <v>3.7389191286981337E-2</v>
          </cell>
          <cell r="E15">
            <v>3.1507906521116437E-2</v>
          </cell>
          <cell r="F15">
            <v>5.9222467005616508E-2</v>
          </cell>
        </row>
        <row r="16">
          <cell r="B16">
            <v>2.4849661344457721E-2</v>
          </cell>
          <cell r="C16">
            <v>2.604844805003247E-2</v>
          </cell>
          <cell r="D16">
            <v>2.5636640563462969E-2</v>
          </cell>
          <cell r="E16">
            <v>3.1507906521116437E-2</v>
          </cell>
          <cell r="F16">
            <v>5.3963338376039283E-2</v>
          </cell>
        </row>
      </sheetData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6EF139-29D8-42E6-B4D2-D2AEF48A96FD}" name="表1" displayName="表1" ref="A1:F16" totalsRowShown="0" headerRowDxfId="7" dataDxfId="6">
  <autoFilter ref="A1:F16" xr:uid="{D26EF139-29D8-42E6-B4D2-D2AEF48A96FD}"/>
  <tableColumns count="6">
    <tableColumn id="1" xr3:uid="{52CFA4E1-05B6-41DE-B1A3-D6CFE3DC273D}" name="features/metric" dataDxfId="5"/>
    <tableColumn id="2" xr3:uid="{32E185BB-6CCF-4E17-B6FF-04B3DD6B1781}" name="accuracy" dataDxfId="4">
      <calculatedColumnFormula>ROUND([1]mean!B2,3)&amp;"±"&amp;ROUND([1]std!B2*0.5,3)</calculatedColumnFormula>
    </tableColumn>
    <tableColumn id="3" xr3:uid="{5FCD7831-FAED-4216-8EDA-D1849F6A7B94}" name="auc" dataDxfId="3">
      <calculatedColumnFormula>ROUND([1]mean!C2,3)&amp;"±"&amp;ROUND([1]std!C2*0.5,3)</calculatedColumnFormula>
    </tableColumn>
    <tableColumn id="4" xr3:uid="{FDEB2D6D-8E35-4329-831E-EDA78275733C}" name="precision" dataDxfId="2">
      <calculatedColumnFormula>ROUND([1]mean!D2,3)&amp;"±"&amp;ROUND([1]std!D2*0.5,3)</calculatedColumnFormula>
    </tableColumn>
    <tableColumn id="5" xr3:uid="{E47D4EE6-AC04-4B43-BA41-870231738F13}" name="recall" dataDxfId="1">
      <calculatedColumnFormula>ROUND([1]mean!E2,3)&amp;"±"&amp;ROUND([1]std!E2*0.5,3)</calculatedColumnFormula>
    </tableColumn>
    <tableColumn id="6" xr3:uid="{E3C0369F-1EAA-4381-8EEE-084411B6492D}" name="specificity" dataDxfId="0">
      <calculatedColumnFormula>ROUND([1]mean!F2,3)&amp;"±"&amp;ROUND([1]std!F2*0.5,3)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topLeftCell="A10" workbookViewId="0">
      <selection activeCell="B14" sqref="B14:G14"/>
    </sheetView>
  </sheetViews>
  <sheetFormatPr defaultRowHeight="14.5" x14ac:dyDescent="0.35"/>
  <cols>
    <col min="1" max="1" width="22.1796875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0.46266666666666673</v>
      </c>
      <c r="C2">
        <v>0.58458317872603582</v>
      </c>
      <c r="D2">
        <v>0.69047619047619047</v>
      </c>
      <c r="E2">
        <v>0.39130158730158732</v>
      </c>
      <c r="F2">
        <v>0.71352380952380956</v>
      </c>
    </row>
    <row r="3" spans="1:7" x14ac:dyDescent="0.35">
      <c r="A3" s="1" t="s">
        <v>7</v>
      </c>
      <c r="B3">
        <v>0.44038095238095237</v>
      </c>
      <c r="C3">
        <v>0.39383700955129519</v>
      </c>
      <c r="D3">
        <v>0.45614574314574308</v>
      </c>
      <c r="E3">
        <v>0.48150793650793638</v>
      </c>
      <c r="F3">
        <v>0.39380230880230882</v>
      </c>
      <c r="G3">
        <v>0.40541269841269828</v>
      </c>
    </row>
    <row r="4" spans="1:7" x14ac:dyDescent="0.35">
      <c r="A4" s="1" t="s">
        <v>8</v>
      </c>
      <c r="B4">
        <v>0.63657142857142857</v>
      </c>
      <c r="C4">
        <v>0.68509630316773173</v>
      </c>
      <c r="D4">
        <v>0.64405772005772</v>
      </c>
      <c r="E4">
        <v>0.71187301587301577</v>
      </c>
      <c r="F4">
        <v>0.59886291486291487</v>
      </c>
      <c r="G4">
        <v>0.66485714285714281</v>
      </c>
    </row>
    <row r="5" spans="1:7" x14ac:dyDescent="0.35">
      <c r="A5" s="1" t="s">
        <v>9</v>
      </c>
      <c r="B5">
        <v>0.54723809523809519</v>
      </c>
      <c r="C5">
        <v>0.5693277296777296</v>
      </c>
      <c r="D5">
        <v>0.5620952380952382</v>
      </c>
      <c r="E5">
        <v>0.5723015873015872</v>
      </c>
      <c r="F5">
        <v>0.53209090909090906</v>
      </c>
      <c r="G5">
        <v>0.54870418470418469</v>
      </c>
    </row>
    <row r="6" spans="1:7" x14ac:dyDescent="0.35">
      <c r="A6" s="1" t="s">
        <v>10</v>
      </c>
      <c r="B6">
        <v>0.43447619047619052</v>
      </c>
      <c r="C6">
        <v>0.39775499896928468</v>
      </c>
      <c r="D6">
        <v>0.45196392496392501</v>
      </c>
      <c r="E6">
        <v>0.48079365079365077</v>
      </c>
      <c r="F6">
        <v>0.3865295815295815</v>
      </c>
      <c r="G6">
        <v>0.40507936507936498</v>
      </c>
    </row>
    <row r="7" spans="1:7" x14ac:dyDescent="0.35">
      <c r="A7" s="1" t="s">
        <v>11</v>
      </c>
      <c r="B7">
        <v>0.63371428571428567</v>
      </c>
      <c r="C7">
        <v>0.67654735106163666</v>
      </c>
      <c r="D7">
        <v>0.63929581529581525</v>
      </c>
      <c r="E7">
        <v>0.71187301587301577</v>
      </c>
      <c r="F7">
        <v>0.58886291486291475</v>
      </c>
      <c r="G7">
        <v>0.66128571428571425</v>
      </c>
    </row>
    <row r="8" spans="1:7" x14ac:dyDescent="0.35">
      <c r="A8" s="1" t="s">
        <v>12</v>
      </c>
      <c r="B8">
        <v>0.56114285714285717</v>
      </c>
      <c r="C8">
        <v>0.59870752078609224</v>
      </c>
      <c r="D8">
        <v>0.56879365079365074</v>
      </c>
      <c r="E8">
        <v>0.58801587301587299</v>
      </c>
      <c r="F8">
        <v>0.54885281385281381</v>
      </c>
      <c r="G8">
        <v>0.58303751803751813</v>
      </c>
    </row>
    <row r="9" spans="1:7" x14ac:dyDescent="0.35">
      <c r="A9" s="1" t="s">
        <v>13</v>
      </c>
      <c r="B9">
        <v>0.52800000000000002</v>
      </c>
      <c r="C9">
        <v>0.58553607503607508</v>
      </c>
      <c r="D9">
        <v>0.53916883116883108</v>
      </c>
      <c r="E9">
        <v>0.53619047619047611</v>
      </c>
      <c r="F9">
        <v>0.53758297258297261</v>
      </c>
      <c r="G9">
        <v>0.52941269841269833</v>
      </c>
    </row>
    <row r="10" spans="1:7" x14ac:dyDescent="0.35">
      <c r="A10" s="1" t="s">
        <v>14</v>
      </c>
      <c r="B10">
        <v>0.48552380952380958</v>
      </c>
      <c r="C10">
        <v>0.46765576169861889</v>
      </c>
      <c r="D10">
        <v>0.5083939393939394</v>
      </c>
      <c r="E10">
        <v>0.49266666666666659</v>
      </c>
      <c r="F10">
        <v>0.47815151515151522</v>
      </c>
      <c r="G10">
        <v>0.46027594627594631</v>
      </c>
    </row>
    <row r="11" spans="1:7" x14ac:dyDescent="0.35">
      <c r="A11" s="1" t="s">
        <v>15</v>
      </c>
      <c r="B11">
        <v>0.69390476190476191</v>
      </c>
      <c r="C11">
        <v>0.75964680134680129</v>
      </c>
      <c r="D11">
        <v>0.6686349206349208</v>
      </c>
      <c r="E11">
        <v>0.75419047619047619</v>
      </c>
      <c r="F11">
        <v>0.64045887445887451</v>
      </c>
      <c r="G11">
        <v>0.71777777777777785</v>
      </c>
    </row>
    <row r="12" spans="1:7" x14ac:dyDescent="0.35">
      <c r="A12" s="1" t="s">
        <v>16</v>
      </c>
      <c r="B12">
        <v>0.5281904761904761</v>
      </c>
      <c r="C12">
        <v>0.58374129045557621</v>
      </c>
      <c r="D12">
        <v>0.54012842712842712</v>
      </c>
      <c r="E12">
        <v>0.54419047619047611</v>
      </c>
      <c r="F12">
        <v>0.5335829725829726</v>
      </c>
      <c r="G12">
        <v>0.53474603174603164</v>
      </c>
    </row>
    <row r="13" spans="1:7" x14ac:dyDescent="0.35">
      <c r="A13" s="1" t="s">
        <v>17</v>
      </c>
      <c r="B13">
        <v>0.4939047619047619</v>
      </c>
      <c r="C13">
        <v>0.46095205799491518</v>
      </c>
      <c r="D13">
        <v>0.51817171717171717</v>
      </c>
      <c r="E13">
        <v>0.50238095238095237</v>
      </c>
      <c r="F13">
        <v>0.48386580086580089</v>
      </c>
      <c r="G13">
        <v>0.46605372405372397</v>
      </c>
    </row>
    <row r="14" spans="1:7" x14ac:dyDescent="0.35">
      <c r="A14" s="1" t="s">
        <v>18</v>
      </c>
      <c r="B14">
        <v>0.68514285714285728</v>
      </c>
      <c r="C14">
        <v>0.7556526970384112</v>
      </c>
      <c r="D14">
        <v>0.6637777777777778</v>
      </c>
      <c r="E14">
        <v>0.7437460317460316</v>
      </c>
      <c r="F14">
        <v>0.63017316017316016</v>
      </c>
      <c r="G14">
        <v>0.69752380952380943</v>
      </c>
    </row>
    <row r="15" spans="1:7" x14ac:dyDescent="0.35">
      <c r="A15" s="1" t="s">
        <v>19</v>
      </c>
      <c r="B15">
        <v>0.54819047619047623</v>
      </c>
      <c r="C15">
        <v>0.63433301037586753</v>
      </c>
      <c r="D15">
        <v>0.56879365079365074</v>
      </c>
      <c r="E15">
        <v>0.53382539682539676</v>
      </c>
      <c r="F15">
        <v>0.56785137085137083</v>
      </c>
      <c r="G15">
        <v>0.53995238095238096</v>
      </c>
    </row>
    <row r="16" spans="1:7" x14ac:dyDescent="0.35">
      <c r="A16" s="1" t="s">
        <v>20</v>
      </c>
      <c r="B16">
        <v>0.54819047619047623</v>
      </c>
      <c r="C16">
        <v>0.62904530337387476</v>
      </c>
      <c r="D16">
        <v>0.56879365079365074</v>
      </c>
      <c r="E16">
        <v>0.53382539682539676</v>
      </c>
      <c r="F16">
        <v>0.56785137085137083</v>
      </c>
      <c r="G16">
        <v>0.53995238095238096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3.5079436902892731E-2</v>
      </c>
      <c r="C2">
        <v>1.180632683961521E-2</v>
      </c>
      <c r="D2">
        <v>6.324107135854018E-2</v>
      </c>
      <c r="E2">
        <v>8.5102693881691491E-2</v>
      </c>
      <c r="F2">
        <v>6.6042657828567344E-2</v>
      </c>
    </row>
    <row r="3" spans="1:7" x14ac:dyDescent="0.35">
      <c r="A3" s="1" t="s">
        <v>7</v>
      </c>
      <c r="B3">
        <v>4.5248620329501277E-2</v>
      </c>
      <c r="C3">
        <v>6.4183873589729379E-2</v>
      </c>
      <c r="D3">
        <v>5.515452731589341E-2</v>
      </c>
      <c r="E3">
        <v>7.3669819997288249E-2</v>
      </c>
      <c r="F3">
        <v>3.9678431507143841E-2</v>
      </c>
      <c r="G3">
        <v>5.8944653355788447E-2</v>
      </c>
    </row>
    <row r="4" spans="1:7" x14ac:dyDescent="0.35">
      <c r="A4" s="1" t="s">
        <v>8</v>
      </c>
      <c r="B4">
        <v>2.0488368471656949E-2</v>
      </c>
      <c r="C4">
        <v>1.0551316793305371E-2</v>
      </c>
      <c r="D4">
        <v>1.2299850710853041E-2</v>
      </c>
      <c r="E4">
        <v>5.7963398847428571E-2</v>
      </c>
      <c r="F4">
        <v>1.6145301366400119E-2</v>
      </c>
      <c r="G4">
        <v>4.5530882096548458E-2</v>
      </c>
    </row>
    <row r="5" spans="1:7" x14ac:dyDescent="0.35">
      <c r="A5" s="1" t="s">
        <v>9</v>
      </c>
      <c r="B5">
        <v>2.3256433045601259E-2</v>
      </c>
      <c r="C5">
        <v>3.1043062859463001E-2</v>
      </c>
      <c r="D5">
        <v>6.1737043863745317E-2</v>
      </c>
      <c r="E5">
        <v>7.0060240249334133E-2</v>
      </c>
      <c r="F5">
        <v>3.009228511110382E-2</v>
      </c>
      <c r="G5">
        <v>2.9158823742654421E-2</v>
      </c>
    </row>
    <row r="6" spans="1:7" x14ac:dyDescent="0.35">
      <c r="A6" s="1" t="s">
        <v>10</v>
      </c>
      <c r="B6">
        <v>4.2025799224446811E-2</v>
      </c>
      <c r="C6">
        <v>6.2057922263097171E-2</v>
      </c>
      <c r="D6">
        <v>5.201259003094607E-2</v>
      </c>
      <c r="E6">
        <v>7.1761745013391998E-2</v>
      </c>
      <c r="F6">
        <v>4.3851207125079637E-2</v>
      </c>
      <c r="G6">
        <v>5.5648901171201068E-2</v>
      </c>
    </row>
    <row r="7" spans="1:7" x14ac:dyDescent="0.35">
      <c r="A7" s="1" t="s">
        <v>11</v>
      </c>
      <c r="B7">
        <v>2.60959332545572E-2</v>
      </c>
      <c r="C7">
        <v>1.254229706602268E-2</v>
      </c>
      <c r="D7">
        <v>2.2170760745885369E-2</v>
      </c>
      <c r="E7">
        <v>5.7963398847428571E-2</v>
      </c>
      <c r="F7">
        <v>2.910881297586896E-2</v>
      </c>
      <c r="G7">
        <v>4.7639162418312613E-2</v>
      </c>
    </row>
    <row r="8" spans="1:7" x14ac:dyDescent="0.35">
      <c r="A8" s="1" t="s">
        <v>12</v>
      </c>
      <c r="B8">
        <v>2.353556675532438E-2</v>
      </c>
      <c r="C8">
        <v>1.9088699121868839E-2</v>
      </c>
      <c r="D8">
        <v>4.7082205385856508E-2</v>
      </c>
      <c r="E8">
        <v>8.6548465094880123E-2</v>
      </c>
      <c r="F8">
        <v>2.3288152291309729E-2</v>
      </c>
      <c r="G8">
        <v>5.0204648249901257E-2</v>
      </c>
    </row>
    <row r="9" spans="1:7" x14ac:dyDescent="0.35">
      <c r="A9" s="1" t="s">
        <v>13</v>
      </c>
      <c r="B9">
        <v>2.7705938851066699E-2</v>
      </c>
      <c r="C9">
        <v>5.8976358117896876E-3</v>
      </c>
      <c r="D9">
        <v>3.9951640174022758E-2</v>
      </c>
      <c r="E9">
        <v>4.7135741807112011E-2</v>
      </c>
      <c r="F9">
        <v>3.9171331355904497E-2</v>
      </c>
      <c r="G9">
        <v>3.6568169773238228E-2</v>
      </c>
    </row>
    <row r="10" spans="1:7" x14ac:dyDescent="0.35">
      <c r="A10" s="1" t="s">
        <v>14</v>
      </c>
      <c r="B10">
        <v>2.367964576556765E-2</v>
      </c>
      <c r="C10">
        <v>4.4966252706156312E-2</v>
      </c>
      <c r="D10">
        <v>3.3795692832548518E-2</v>
      </c>
      <c r="E10">
        <v>4.0617772919577071E-2</v>
      </c>
      <c r="F10">
        <v>1.798166996246885E-2</v>
      </c>
      <c r="G10">
        <v>4.7462347916470221E-2</v>
      </c>
    </row>
    <row r="11" spans="1:7" x14ac:dyDescent="0.35">
      <c r="A11" s="1" t="s">
        <v>15</v>
      </c>
      <c r="B11">
        <v>4.2434957565464407E-2</v>
      </c>
      <c r="C11">
        <v>1.7735556638143881E-2</v>
      </c>
      <c r="D11">
        <v>1.5702998190771991E-2</v>
      </c>
      <c r="E11">
        <v>5.4966216519129432E-2</v>
      </c>
      <c r="F11">
        <v>3.026231959230305E-2</v>
      </c>
      <c r="G11">
        <v>4.8134348129913011E-2</v>
      </c>
    </row>
    <row r="12" spans="1:7" x14ac:dyDescent="0.35">
      <c r="A12" s="1" t="s">
        <v>16</v>
      </c>
      <c r="B12">
        <v>2.7877282097486741E-2</v>
      </c>
      <c r="C12">
        <v>4.4518180832944466E-3</v>
      </c>
      <c r="D12">
        <v>4.1291334502483082E-2</v>
      </c>
      <c r="E12">
        <v>6.2301369931882469E-2</v>
      </c>
      <c r="F12">
        <v>3.7050811172813378E-2</v>
      </c>
      <c r="G12">
        <v>4.671747045651533E-2</v>
      </c>
    </row>
    <row r="13" spans="1:7" x14ac:dyDescent="0.35">
      <c r="A13" s="1" t="s">
        <v>17</v>
      </c>
      <c r="B13">
        <v>3.4507220973583573E-2</v>
      </c>
      <c r="C13">
        <v>5.4605711458551857E-2</v>
      </c>
      <c r="D13">
        <v>4.1383661121556843E-2</v>
      </c>
      <c r="E13">
        <v>4.9146533023590268E-2</v>
      </c>
      <c r="F13">
        <v>2.5874220224048151E-2</v>
      </c>
      <c r="G13">
        <v>5.2989074517724381E-2</v>
      </c>
    </row>
    <row r="14" spans="1:7" x14ac:dyDescent="0.35">
      <c r="A14" s="1" t="s">
        <v>18</v>
      </c>
      <c r="B14">
        <v>1.9709914399194759E-2</v>
      </c>
      <c r="C14">
        <v>2.704315186171307E-2</v>
      </c>
      <c r="D14">
        <v>1.986982072798221E-3</v>
      </c>
      <c r="E14">
        <v>3.6573500478677093E-2</v>
      </c>
      <c r="F14">
        <v>2.6438824677170361E-2</v>
      </c>
      <c r="G14">
        <v>1.4987334032638929E-2</v>
      </c>
    </row>
    <row r="15" spans="1:7" x14ac:dyDescent="0.35">
      <c r="A15" s="1" t="s">
        <v>19</v>
      </c>
      <c r="B15">
        <v>3.1641414922882242E-2</v>
      </c>
      <c r="C15">
        <v>2.6927851637634091E-2</v>
      </c>
      <c r="D15">
        <v>4.3900239641309173E-2</v>
      </c>
      <c r="E15">
        <v>6.5151755131960948E-2</v>
      </c>
      <c r="F15">
        <v>3.6610285498691338E-2</v>
      </c>
      <c r="G15">
        <v>2.527311137810612E-2</v>
      </c>
    </row>
    <row r="16" spans="1:7" x14ac:dyDescent="0.35">
      <c r="A16" s="1" t="s">
        <v>20</v>
      </c>
      <c r="B16">
        <v>3.1641414922882242E-2</v>
      </c>
      <c r="C16">
        <v>3.0262908307246549E-2</v>
      </c>
      <c r="D16">
        <v>4.3900239641309173E-2</v>
      </c>
      <c r="E16">
        <v>6.5151755131960948E-2</v>
      </c>
      <c r="F16">
        <v>3.6610285498691338E-2</v>
      </c>
      <c r="G16">
        <v>2.527311137810612E-2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5EC2-87FB-4EAF-8627-F044F32009B0}">
  <dimension ref="A1:F16"/>
  <sheetViews>
    <sheetView workbookViewId="0">
      <selection activeCell="B2" sqref="B2"/>
    </sheetView>
  </sheetViews>
  <sheetFormatPr defaultRowHeight="14.5" x14ac:dyDescent="0.35"/>
  <cols>
    <col min="1" max="1" width="20.81640625" customWidth="1"/>
    <col min="2" max="2" width="19.1796875" customWidth="1"/>
    <col min="3" max="3" width="23" customWidth="1"/>
    <col min="4" max="4" width="17.36328125" customWidth="1"/>
    <col min="5" max="5" width="20" customWidth="1"/>
    <col min="6" max="6" width="27.54296875" customWidth="1"/>
  </cols>
  <sheetData>
    <row r="1" spans="1:6" x14ac:dyDescent="0.35">
      <c r="A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6</v>
      </c>
      <c r="B2" s="2" t="str">
        <f>ROUND([1]mean!B2,3)&amp;"±"&amp;ROUND([1]std!B2*0.5,3)</f>
        <v>0.463±0.018</v>
      </c>
      <c r="C2" s="2" t="str">
        <f>ROUND([1]mean!C2,3)&amp;"±"&amp;ROUND([1]std!C2*0.5,3)</f>
        <v>0.569±0.004</v>
      </c>
      <c r="D2" s="2" t="str">
        <f>ROUND([1]mean!D2,3)&amp;"±"&amp;ROUND([1]std!D2*0.5,3)</f>
        <v>0.69±0.032</v>
      </c>
      <c r="E2" s="2" t="str">
        <f>ROUND([1]mean!E2,3)&amp;"±"&amp;ROUND([1]std!E2*0.5,3)</f>
        <v>0.391±0.043</v>
      </c>
      <c r="F2" s="2" t="str">
        <f>ROUND([1]mean!F2,3)&amp;"±"&amp;ROUND([1]std!F2*0.5,3)</f>
        <v>0.714±0.033</v>
      </c>
    </row>
    <row r="3" spans="1:6" x14ac:dyDescent="0.35">
      <c r="A3" s="1" t="s">
        <v>7</v>
      </c>
      <c r="B3" s="2" t="str">
        <f>ROUND([1]mean!B3,3)&amp;"±"&amp;ROUND([1]std!B3*0.5,3)</f>
        <v>0.438±0.024</v>
      </c>
      <c r="C3" s="2" t="str">
        <f>ROUND([1]mean!C3,3)&amp;"±"&amp;ROUND([1]std!C3*0.5,3)</f>
        <v>0.404±0.033</v>
      </c>
      <c r="D3" s="2" t="str">
        <f>ROUND([1]mean!D3,3)&amp;"±"&amp;ROUND([1]std!D3*0.5,3)</f>
        <v>0.456±0.026</v>
      </c>
      <c r="E3" s="2" t="str">
        <f>ROUND([1]mean!E3,3)&amp;"±"&amp;ROUND([1]std!E3*0.5,3)</f>
        <v>0.464±0.03</v>
      </c>
      <c r="F3" s="2" t="str">
        <f>ROUND([1]mean!F3,3)&amp;"±"&amp;ROUND([1]std!F3*0.5,3)</f>
        <v>0.414±0.032</v>
      </c>
    </row>
    <row r="4" spans="1:6" x14ac:dyDescent="0.35">
      <c r="A4" s="1" t="s">
        <v>8</v>
      </c>
      <c r="B4" s="2" t="str">
        <f>ROUND([1]mean!B4,3)&amp;"±"&amp;ROUND([1]std!B4*0.5,3)</f>
        <v>0.642±0.011</v>
      </c>
      <c r="C4" s="2" t="str">
        <f>ROUND([1]mean!C4,3)&amp;"±"&amp;ROUND([1]std!C4*0.5,3)</f>
        <v>0.683±0.005</v>
      </c>
      <c r="D4" s="2" t="str">
        <f>ROUND([1]mean!D4,3)&amp;"±"&amp;ROUND([1]std!D4*0.5,3)</f>
        <v>0.648±0.011</v>
      </c>
      <c r="E4" s="2" t="str">
        <f>ROUND([1]mean!E4,3)&amp;"±"&amp;ROUND([1]std!E4*0.5,3)</f>
        <v>0.72±0.032</v>
      </c>
      <c r="F4" s="2" t="str">
        <f>ROUND([1]mean!F4,3)&amp;"±"&amp;ROUND([1]std!F4*0.5,3)</f>
        <v>0.596±0.025</v>
      </c>
    </row>
    <row r="5" spans="1:6" x14ac:dyDescent="0.35">
      <c r="A5" s="1" t="s">
        <v>9</v>
      </c>
      <c r="B5" s="2" t="str">
        <f>ROUND([1]mean!B5,3)&amp;"±"&amp;ROUND([1]std!B5*0.5,3)</f>
        <v>0.536±0.013</v>
      </c>
      <c r="C5" s="2" t="str">
        <f>ROUND([1]mean!C5,3)&amp;"±"&amp;ROUND([1]std!C5*0.5,3)</f>
        <v>0.563±0.015</v>
      </c>
      <c r="D5" s="2" t="str">
        <f>ROUND([1]mean!D5,3)&amp;"±"&amp;ROUND([1]std!D5*0.5,3)</f>
        <v>0.546±0.031</v>
      </c>
      <c r="E5" s="2" t="str">
        <f>ROUND([1]mean!E5,3)&amp;"±"&amp;ROUND([1]std!E5*0.5,3)</f>
        <v>0.553±0.038</v>
      </c>
      <c r="F5" s="2" t="str">
        <f>ROUND([1]mean!F5,3)&amp;"±"&amp;ROUND([1]std!F5*0.5,3)</f>
        <v>0.537±0.02</v>
      </c>
    </row>
    <row r="6" spans="1:6" x14ac:dyDescent="0.35">
      <c r="A6" s="1" t="s">
        <v>10</v>
      </c>
      <c r="B6" s="2" t="str">
        <f>ROUND([1]mean!B6,3)&amp;"±"&amp;ROUND([1]std!B6*0.5,3)</f>
        <v>0.438±0.027</v>
      </c>
      <c r="C6" s="2" t="str">
        <f>ROUND([1]mean!C6,3)&amp;"±"&amp;ROUND([1]std!C6*0.5,3)</f>
        <v>0.398±0.032</v>
      </c>
      <c r="D6" s="2" t="str">
        <f>ROUND([1]mean!D6,3)&amp;"±"&amp;ROUND([1]std!D6*0.5,3)</f>
        <v>0.452±0.028</v>
      </c>
      <c r="E6" s="2" t="str">
        <f>ROUND([1]mean!E6,3)&amp;"±"&amp;ROUND([1]std!E6*0.5,3)</f>
        <v>0.464±0.03</v>
      </c>
      <c r="F6" s="2" t="str">
        <f>ROUND([1]mean!F6,3)&amp;"±"&amp;ROUND([1]std!F6*0.5,3)</f>
        <v>0.409±0.039</v>
      </c>
    </row>
    <row r="7" spans="1:6" x14ac:dyDescent="0.35">
      <c r="A7" s="1" t="s">
        <v>11</v>
      </c>
      <c r="B7" s="2" t="str">
        <f>ROUND([1]mean!B7,3)&amp;"±"&amp;ROUND([1]std!B7*0.5,3)</f>
        <v>0.64±0.011</v>
      </c>
      <c r="C7" s="2" t="str">
        <f>ROUND([1]mean!C7,3)&amp;"±"&amp;ROUND([1]std!C7*0.5,3)</f>
        <v>0.68±0.004</v>
      </c>
      <c r="D7" s="2" t="str">
        <f>ROUND([1]mean!D7,3)&amp;"±"&amp;ROUND([1]std!D7*0.5,3)</f>
        <v>0.646±0.011</v>
      </c>
      <c r="E7" s="2" t="str">
        <f>ROUND([1]mean!E7,3)&amp;"±"&amp;ROUND([1]std!E7*0.5,3)</f>
        <v>0.714±0.032</v>
      </c>
      <c r="F7" s="2" t="str">
        <f>ROUND([1]mean!F7,3)&amp;"±"&amp;ROUND([1]std!F7*0.5,3)</f>
        <v>0.596±0.025</v>
      </c>
    </row>
    <row r="8" spans="1:6" x14ac:dyDescent="0.35">
      <c r="A8" s="1" t="s">
        <v>12</v>
      </c>
      <c r="B8" s="2" t="str">
        <f>ROUND([1]mean!B8,3)&amp;"±"&amp;ROUND([1]std!B8*0.5,3)</f>
        <v>0.555±0.017</v>
      </c>
      <c r="C8" s="2" t="str">
        <f>ROUND([1]mean!C8,3)&amp;"±"&amp;ROUND([1]std!C8*0.5,3)</f>
        <v>0.589±0.009</v>
      </c>
      <c r="D8" s="2" t="str">
        <f>ROUND([1]mean!D8,3)&amp;"±"&amp;ROUND([1]std!D8*0.5,3)</f>
        <v>0.568±0.032</v>
      </c>
      <c r="E8" s="2" t="str">
        <f>ROUND([1]mean!E8,3)&amp;"±"&amp;ROUND([1]std!E8*0.5,3)</f>
        <v>0.579±0.049</v>
      </c>
      <c r="F8" s="2" t="str">
        <f>ROUND([1]mean!F8,3)&amp;"±"&amp;ROUND([1]std!F8*0.5,3)</f>
        <v>0.548±0.013</v>
      </c>
    </row>
    <row r="9" spans="1:6" x14ac:dyDescent="0.35">
      <c r="A9" s="1" t="s">
        <v>13</v>
      </c>
      <c r="B9" s="2" t="str">
        <f>ROUND([1]mean!B9,3)&amp;"±"&amp;ROUND([1]std!B9*0.5,3)</f>
        <v>0.548±0.005</v>
      </c>
      <c r="C9" s="2" t="str">
        <f>ROUND([1]mean!C9,3)&amp;"±"&amp;ROUND([1]std!C9*0.5,3)</f>
        <v>0.583±0.007</v>
      </c>
      <c r="D9" s="2" t="str">
        <f>ROUND([1]mean!D9,3)&amp;"±"&amp;ROUND([1]std!D9*0.5,3)</f>
        <v>0.563±0.006</v>
      </c>
      <c r="E9" s="2" t="str">
        <f>ROUND([1]mean!E9,3)&amp;"±"&amp;ROUND([1]std!E9*0.5,3)</f>
        <v>0.561±0.024</v>
      </c>
      <c r="F9" s="2" t="str">
        <f>ROUND([1]mean!F9,3)&amp;"±"&amp;ROUND([1]std!F9*0.5,3)</f>
        <v>0.557±0.018</v>
      </c>
    </row>
    <row r="10" spans="1:6" x14ac:dyDescent="0.35">
      <c r="A10" s="1" t="s">
        <v>14</v>
      </c>
      <c r="B10" s="2" t="str">
        <f>ROUND([1]mean!B10,3)&amp;"±"&amp;ROUND([1]std!B10*0.5,3)</f>
        <v>0.474±0.01</v>
      </c>
      <c r="C10" s="2" t="str">
        <f>ROUND([1]mean!C10,3)&amp;"±"&amp;ROUND([1]std!C10*0.5,3)</f>
        <v>0.467±0.027</v>
      </c>
      <c r="D10" s="2" t="str">
        <f>ROUND([1]mean!D10,3)&amp;"±"&amp;ROUND([1]std!D10*0.5,3)</f>
        <v>0.506±0.024</v>
      </c>
      <c r="E10" s="2" t="str">
        <f>ROUND([1]mean!E10,3)&amp;"±"&amp;ROUND([1]std!E10*0.5,3)</f>
        <v>0.502±0.028</v>
      </c>
      <c r="F10" s="2" t="str">
        <f>ROUND([1]mean!F10,3)&amp;"±"&amp;ROUND([1]std!F10*0.5,3)</f>
        <v>0.457±0.017</v>
      </c>
    </row>
    <row r="11" spans="1:6" x14ac:dyDescent="0.35">
      <c r="A11" s="1" t="s">
        <v>15</v>
      </c>
      <c r="B11" s="2" t="str">
        <f>ROUND([1]mean!B11,3)&amp;"±"&amp;ROUND([1]std!B11*0.5,3)</f>
        <v>0.678±0.01</v>
      </c>
      <c r="C11" s="2" t="str">
        <f>ROUND([1]mean!C11,3)&amp;"±"&amp;ROUND([1]std!C11*0.5,3)</f>
        <v>0.744±0.01</v>
      </c>
      <c r="D11" s="2" t="str">
        <f>ROUND([1]mean!D11,3)&amp;"±"&amp;ROUND([1]std!D11*0.5,3)</f>
        <v>0.67±0.005</v>
      </c>
      <c r="E11" s="2" t="str">
        <f>ROUND([1]mean!E11,3)&amp;"±"&amp;ROUND([1]std!E11*0.5,3)</f>
        <v>0.737±0.023</v>
      </c>
      <c r="F11" s="2" t="str">
        <f>ROUND([1]mean!F11,3)&amp;"±"&amp;ROUND([1]std!F11*0.5,3)</f>
        <v>0.642±0.02</v>
      </c>
    </row>
    <row r="12" spans="1:6" x14ac:dyDescent="0.35">
      <c r="A12" s="1" t="s">
        <v>16</v>
      </c>
      <c r="B12" s="2" t="str">
        <f>ROUND([1]mean!B12,3)&amp;"±"&amp;ROUND([1]std!B12*0.5,3)</f>
        <v>0.545±0.008</v>
      </c>
      <c r="C12" s="2" t="str">
        <f>ROUND([1]mean!C12,3)&amp;"±"&amp;ROUND([1]std!C12*0.5,3)</f>
        <v>0.581±0.005</v>
      </c>
      <c r="D12" s="2" t="str">
        <f>ROUND([1]mean!D12,3)&amp;"±"&amp;ROUND([1]std!D12*0.5,3)</f>
        <v>0.557±0.01</v>
      </c>
      <c r="E12" s="2" t="str">
        <f>ROUND([1]mean!E12,3)&amp;"±"&amp;ROUND([1]std!E12*0.5,3)</f>
        <v>0.548±0.026</v>
      </c>
      <c r="F12" s="2" t="str">
        <f>ROUND([1]mean!F12,3)&amp;"±"&amp;ROUND([1]std!F12*0.5,3)</f>
        <v>0.557±0.018</v>
      </c>
    </row>
    <row r="13" spans="1:6" x14ac:dyDescent="0.35">
      <c r="A13" s="1" t="s">
        <v>17</v>
      </c>
      <c r="B13" s="2" t="str">
        <f>ROUND([1]mean!B13,3)&amp;"±"&amp;ROUND([1]std!B13*0.5,3)</f>
        <v>0.477±0.009</v>
      </c>
      <c r="C13" s="2" t="str">
        <f>ROUND([1]mean!C13,3)&amp;"±"&amp;ROUND([1]std!C13*0.5,3)</f>
        <v>0.47±0.026</v>
      </c>
      <c r="D13" s="2" t="str">
        <f>ROUND([1]mean!D13,3)&amp;"±"&amp;ROUND([1]std!D13*0.5,3)</f>
        <v>0.507±0.026</v>
      </c>
      <c r="E13" s="2" t="str">
        <f>ROUND([1]mean!E13,3)&amp;"±"&amp;ROUND([1]std!E13*0.5,3)</f>
        <v>0.507±0.03</v>
      </c>
      <c r="F13" s="2" t="str">
        <f>ROUND([1]mean!F13,3)&amp;"±"&amp;ROUND([1]std!F13*0.5,3)</f>
        <v>0.457±0.017</v>
      </c>
    </row>
    <row r="14" spans="1:6" x14ac:dyDescent="0.35">
      <c r="A14" s="1" t="s">
        <v>18</v>
      </c>
      <c r="B14" s="3" t="str">
        <f>ROUND([1]mean!B14,3)&amp;"±"&amp;ROUND([1]std!B14*0.5,3)</f>
        <v>0.685±0.004</v>
      </c>
      <c r="C14" s="3" t="str">
        <f>ROUND([1]mean!C14,3)&amp;"±"&amp;ROUND([1]std!C14*0.5,3)</f>
        <v>0.754±0.012</v>
      </c>
      <c r="D14" s="2" t="str">
        <f>ROUND([1]mean!D14,3)&amp;"±"&amp;ROUND([1]std!D14*0.5,3)</f>
        <v>0.667±0.006</v>
      </c>
      <c r="E14" s="2" t="str">
        <f>ROUND([1]mean!E14,3)&amp;"±"&amp;ROUND([1]std!E14*0.5,3)</f>
        <v>0.73±0.016</v>
      </c>
      <c r="F14" s="2" t="str">
        <f>ROUND([1]mean!F14,3)&amp;"±"&amp;ROUND([1]std!F14*0.5,3)</f>
        <v>0.642±0.02</v>
      </c>
    </row>
    <row r="15" spans="1:6" x14ac:dyDescent="0.35">
      <c r="A15" s="1" t="s">
        <v>19</v>
      </c>
      <c r="B15" s="2" t="str">
        <f>ROUND([1]mean!B15,3)&amp;"±"&amp;ROUND([1]std!B15*0.5,3)</f>
        <v>0.562±0.015</v>
      </c>
      <c r="C15" s="2" t="str">
        <f>ROUND([1]mean!C15,3)&amp;"±"&amp;ROUND([1]std!C15*0.5,3)</f>
        <v>0.631±0.014</v>
      </c>
      <c r="D15" s="2" t="str">
        <f>ROUND([1]mean!D15,3)&amp;"±"&amp;ROUND([1]std!D15*0.5,3)</f>
        <v>0.598±0.019</v>
      </c>
      <c r="E15" s="2" t="str">
        <f>ROUND([1]mean!E15,3)&amp;"±"&amp;ROUND([1]std!E15*0.5,3)</f>
        <v>0.556±0.016</v>
      </c>
      <c r="F15" s="2" t="str">
        <f>ROUND([1]mean!F15,3)&amp;"±"&amp;ROUND([1]std!F15*0.5,3)</f>
        <v>0.582±0.03</v>
      </c>
    </row>
    <row r="16" spans="1:6" x14ac:dyDescent="0.35">
      <c r="A16" s="1" t="s">
        <v>20</v>
      </c>
      <c r="B16" s="2" t="str">
        <f>ROUND([1]mean!B16,3)&amp;"±"&amp;ROUND([1]std!B16*0.5,3)</f>
        <v>0.56±0.012</v>
      </c>
      <c r="C16" s="2" t="str">
        <f>ROUND([1]mean!C16,3)&amp;"±"&amp;ROUND([1]std!C16*0.5,3)</f>
        <v>0.632±0.013</v>
      </c>
      <c r="D16" s="2" t="str">
        <f>ROUND([1]mean!D16,3)&amp;"±"&amp;ROUND([1]std!D16*0.5,3)</f>
        <v>0.592±0.013</v>
      </c>
      <c r="E16" s="2" t="str">
        <f>ROUND([1]mean!E16,3)&amp;"±"&amp;ROUND([1]std!E16*0.5,3)</f>
        <v>0.556±0.016</v>
      </c>
      <c r="F16" s="2" t="str">
        <f>ROUND([1]mean!F16,3)&amp;"±"&amp;ROUND([1]std!F16*0.5,3)</f>
        <v>0.576±0.027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mean</vt:lpstr>
      <vt:lpstr>std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方轩固</cp:lastModifiedBy>
  <dcterms:created xsi:type="dcterms:W3CDTF">2022-06-27T14:38:26Z</dcterms:created>
  <dcterms:modified xsi:type="dcterms:W3CDTF">2022-09-02T03:27:35Z</dcterms:modified>
</cp:coreProperties>
</file>