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group_sparse_selection\code_fang\result_log_new\P1\"/>
    </mc:Choice>
  </mc:AlternateContent>
  <xr:revisionPtr revIDLastSave="0" documentId="13_ncr:1_{1F5CE553-E767-436F-B310-BF0C6432CF94}" xr6:coauthVersionLast="47" xr6:coauthVersionMax="47" xr10:uidLastSave="{00000000-0000-0000-0000-000000000000}"/>
  <bookViews>
    <workbookView xWindow="-28920" yWindow="1830" windowWidth="29040" windowHeight="15840" activeTab="2" xr2:uid="{00000000-000D-0000-FFFF-FFFF00000000}"/>
  </bookViews>
  <sheets>
    <sheet name="mean" sheetId="1" r:id="rId1"/>
    <sheet name="std" sheetId="2" r:id="rId2"/>
    <sheet name="Sheet1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F16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2" i="3"/>
  <c r="E2" i="3"/>
  <c r="F2" i="3"/>
</calcChain>
</file>

<file path=xl/sharedStrings.xml><?xml version="1.0" encoding="utf-8"?>
<sst xmlns="http://schemas.openxmlformats.org/spreadsheetml/2006/main" count="159" uniqueCount="106">
  <si>
    <t>accuracy</t>
  </si>
  <si>
    <t>auc</t>
  </si>
  <si>
    <t>precision</t>
  </si>
  <si>
    <t>recall</t>
  </si>
  <si>
    <t>specificity</t>
  </si>
  <si>
    <t>NPV</t>
  </si>
  <si>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</si>
  <si>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</si>
  <si>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</si>
  <si>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</si>
  <si>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</si>
  <si>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</si>
  <si>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</si>
  <si>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</si>
  <si>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</si>
  <si>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</si>
  <si>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</si>
  <si>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</si>
  <si>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</si>
  <si>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</si>
  <si>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</si>
  <si>
    <t>features/metric</t>
  </si>
  <si>
    <t>0.463±0.018</t>
  </si>
  <si>
    <t>0.569±0.004</t>
  </si>
  <si>
    <t>0.69±0.032</t>
  </si>
  <si>
    <t>0.438±0.024</t>
  </si>
  <si>
    <t>0.404±0.033</t>
  </si>
  <si>
    <t>0.456±0.026</t>
  </si>
  <si>
    <t>0.464±0.03</t>
  </si>
  <si>
    <t>0.414±0.032</t>
  </si>
  <si>
    <t>0.642±0.011</t>
  </si>
  <si>
    <t>0.683±0.005</t>
  </si>
  <si>
    <t>0.648±0.011</t>
  </si>
  <si>
    <t>0.72±0.032</t>
  </si>
  <si>
    <t>0.596±0.025</t>
  </si>
  <si>
    <t>0.536±0.013</t>
  </si>
  <si>
    <t>0.563±0.015</t>
  </si>
  <si>
    <t>0.546±0.031</t>
  </si>
  <si>
    <t>0.553±0.038</t>
  </si>
  <si>
    <t>0.537±0.02</t>
  </si>
  <si>
    <t>0.438±0.027</t>
  </si>
  <si>
    <t>0.398±0.032</t>
  </si>
  <si>
    <t>0.452±0.028</t>
  </si>
  <si>
    <t>0.409±0.039</t>
  </si>
  <si>
    <t>0.64±0.011</t>
  </si>
  <si>
    <t>0.68±0.004</t>
  </si>
  <si>
    <t>0.646±0.011</t>
  </si>
  <si>
    <t>0.714±0.032</t>
  </si>
  <si>
    <t>0.555±0.017</t>
  </si>
  <si>
    <t>0.589±0.009</t>
  </si>
  <si>
    <t>0.568±0.032</t>
  </si>
  <si>
    <t>0.579±0.049</t>
  </si>
  <si>
    <t>0.548±0.013</t>
  </si>
  <si>
    <t>0.548±0.005</t>
  </si>
  <si>
    <t>0.583±0.007</t>
  </si>
  <si>
    <t>0.563±0.006</t>
  </si>
  <si>
    <t>0.561±0.024</t>
  </si>
  <si>
    <t>0.557±0.018</t>
  </si>
  <si>
    <t>0.474±0.01</t>
  </si>
  <si>
    <t>0.467±0.027</t>
  </si>
  <si>
    <t>0.506±0.024</t>
  </si>
  <si>
    <t>0.502±0.028</t>
  </si>
  <si>
    <t>0.457±0.017</t>
  </si>
  <si>
    <t>0.678±0.01</t>
  </si>
  <si>
    <t>0.744±0.01</t>
  </si>
  <si>
    <t>0.642±0.02</t>
  </si>
  <si>
    <t>0.545±0.008</t>
  </si>
  <si>
    <t>0.581±0.005</t>
  </si>
  <si>
    <t>0.557±0.01</t>
  </si>
  <si>
    <t>0.548±0.026</t>
  </si>
  <si>
    <t>0.477±0.009</t>
  </si>
  <si>
    <t>0.47±0.026</t>
  </si>
  <si>
    <t>0.507±0.026</t>
  </si>
  <si>
    <t>0.507±0.03</t>
  </si>
  <si>
    <t>0.685±0.004</t>
  </si>
  <si>
    <t>0.754±0.012</t>
  </si>
  <si>
    <t>0.562±0.015</t>
  </si>
  <si>
    <t>0.631±0.014</t>
  </si>
  <si>
    <t>0.598±0.019</t>
  </si>
  <si>
    <t>0.556±0.016</t>
  </si>
  <si>
    <t>0.582±0.03</t>
  </si>
  <si>
    <t>0.56±0.012</t>
  </si>
  <si>
    <t>0.632±0.013</t>
  </si>
  <si>
    <t>0.592±0.013</t>
  </si>
  <si>
    <t>0.576±0.027</t>
  </si>
  <si>
    <t>0.591±0.043</t>
  </si>
  <si>
    <t>0.667±0.005</t>
  </si>
  <si>
    <t>0.672±0.006</t>
  </si>
  <si>
    <t>0.737±0.016</t>
  </si>
  <si>
    <t>0.731±0.023</t>
  </si>
  <si>
    <t>0.704±0.033</t>
  </si>
  <si>
    <t>AUC</t>
  </si>
  <si>
    <t>0.682±0.02</t>
  </si>
  <si>
    <t>Features/Metrics</t>
  </si>
  <si>
    <t xml:space="preserve">Accuracy </t>
  </si>
  <si>
    <t>Precision</t>
  </si>
  <si>
    <t>Recall</t>
  </si>
  <si>
    <t>Specificity</t>
  </si>
  <si>
    <t>Gene</t>
  </si>
  <si>
    <t>Gene_TG</t>
  </si>
  <si>
    <t>Gene_Cer</t>
  </si>
  <si>
    <t>Gene_DG</t>
  </si>
  <si>
    <t>Gene_TG_Cer</t>
  </si>
  <si>
    <t>Gene_TG_DG</t>
  </si>
  <si>
    <t>Gene_DG_Cer</t>
  </si>
  <si>
    <t>Gene_TG_Cer_DG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</si>
</sst>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</cellXfs>
  <cellStyles count="1">
    <cellStyle name="常规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A7B4A3-38F1-4F22-8E0F-5566761B397E}" name="表1" displayName="表1" ref="A1:F16" totalsRowShown="0" headerRowDxfId="7" dataDxfId="6">
  <autoFilter ref="A1:F16" xr:uid="{3BA7B4A3-38F1-4F22-8E0F-5566761B397E}"/>
  <tableColumns count="6">
    <tableColumn id="1" xr3:uid="{34589949-CA1C-4BCD-86D5-1680A9B801FA}" name="features/metric" dataDxfId="5"/>
    <tableColumn id="2" xr3:uid="{DFEB0F21-9E7D-4459-9917-031377CB147E}" name="accuracy" dataDxfId="4">
      <calculatedColumnFormula>ROUND(mean!B2,3)&amp;"±"&amp;ROUND(std!B2*0.5,3)</calculatedColumnFormula>
    </tableColumn>
    <tableColumn id="3" xr3:uid="{CD1CB18A-304A-4785-9E7C-817D243D7E72}" name="auc" dataDxfId="3">
      <calculatedColumnFormula>ROUND(mean!C2,3)&amp;"±"&amp;ROUND(std!C2*0.5,3)</calculatedColumnFormula>
    </tableColumn>
    <tableColumn id="4" xr3:uid="{B204E1C9-C3EC-4AFF-905B-99E6C235C01A}" name="precision" dataDxfId="2">
      <calculatedColumnFormula>ROUND(mean!D2,3)&amp;"±"&amp;ROUND(std!D2*0.5,3)</calculatedColumnFormula>
    </tableColumn>
    <tableColumn id="5" xr3:uid="{3CA2799A-8362-4ED0-B988-337EF0D2DB65}" name="recall" dataDxfId="1">
      <calculatedColumnFormula>ROUND(mean!E2,3)&amp;"±"&amp;ROUND(std!E2*0.5,3)</calculatedColumnFormula>
    </tableColumn>
    <tableColumn id="6" xr3:uid="{287D50A8-EB56-4BD3-BD5A-807FA993469E}" name="specificity" dataDxfId="0">
      <calculatedColumnFormula>ROUND(mean!F2,3)&amp;"±"&amp;ROUND(std!F2*0.5,3)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C11" sqref="C11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0.46266666666666673</v>
      </c>
      <c r="C2">
        <v>0.56885301999587712</v>
      </c>
      <c r="D2">
        <v>0.69047619047619047</v>
      </c>
      <c r="E2">
        <v>0.39130158730158732</v>
      </c>
      <c r="F2">
        <v>0.71352380952380956</v>
      </c>
    </row>
    <row r="3" spans="1:7" x14ac:dyDescent="0.35">
      <c r="A3" s="1" t="s">
        <v>7</v>
      </c>
      <c r="B3">
        <v>0.43771428571428561</v>
      </c>
      <c r="C3">
        <v>0.40352347969490832</v>
      </c>
      <c r="D3">
        <v>0.45639682539682552</v>
      </c>
      <c r="E3">
        <v>0.46436507936507931</v>
      </c>
      <c r="F3">
        <v>0.41437229437229439</v>
      </c>
      <c r="G3">
        <v>0.40713131313131318</v>
      </c>
    </row>
    <row r="4" spans="1:7" x14ac:dyDescent="0.35">
      <c r="A4" s="1" t="s">
        <v>8</v>
      </c>
      <c r="B4">
        <v>0.64247619047619042</v>
      </c>
      <c r="C4">
        <v>0.68290051535765817</v>
      </c>
      <c r="D4">
        <v>0.64786724386724381</v>
      </c>
      <c r="E4">
        <v>0.72031746031746025</v>
      </c>
      <c r="F4">
        <v>0.59648196248196261</v>
      </c>
      <c r="G4">
        <v>0.66723809523809519</v>
      </c>
    </row>
    <row r="5" spans="1:7" x14ac:dyDescent="0.35">
      <c r="A5" s="1" t="s">
        <v>9</v>
      </c>
      <c r="B5">
        <v>0.53600000000000003</v>
      </c>
      <c r="C5">
        <v>0.56311681096681099</v>
      </c>
      <c r="D5">
        <v>0.54625974025974033</v>
      </c>
      <c r="E5">
        <v>0.55325396825396822</v>
      </c>
      <c r="F5">
        <v>0.536979797979798</v>
      </c>
      <c r="G5">
        <v>0.55048196248196246</v>
      </c>
    </row>
    <row r="6" spans="1:7" x14ac:dyDescent="0.35">
      <c r="A6" s="1" t="s">
        <v>10</v>
      </c>
      <c r="B6">
        <v>0.43771428571428572</v>
      </c>
      <c r="C6">
        <v>0.39825852401566691</v>
      </c>
      <c r="D6">
        <v>0.45195238095238099</v>
      </c>
      <c r="E6">
        <v>0.46436507936507931</v>
      </c>
      <c r="F6">
        <v>0.40937229437229439</v>
      </c>
      <c r="G6">
        <v>0.40688888888888891</v>
      </c>
    </row>
    <row r="7" spans="1:7" x14ac:dyDescent="0.35">
      <c r="A7" s="1" t="s">
        <v>11</v>
      </c>
      <c r="B7">
        <v>0.63961904761904764</v>
      </c>
      <c r="C7">
        <v>0.68043913969628256</v>
      </c>
      <c r="D7">
        <v>0.64596248196248196</v>
      </c>
      <c r="E7">
        <v>0.71365079365079365</v>
      </c>
      <c r="F7">
        <v>0.59648196248196261</v>
      </c>
      <c r="G7">
        <v>0.66295238095238096</v>
      </c>
    </row>
    <row r="8" spans="1:7" x14ac:dyDescent="0.35">
      <c r="A8" s="1" t="s">
        <v>12</v>
      </c>
      <c r="B8">
        <v>0.55542857142857138</v>
      </c>
      <c r="C8">
        <v>0.58899408712980139</v>
      </c>
      <c r="D8">
        <v>0.5676984126984127</v>
      </c>
      <c r="E8">
        <v>0.57912698412698416</v>
      </c>
      <c r="F8">
        <v>0.54758297258297262</v>
      </c>
      <c r="G8">
        <v>0.56994227994227997</v>
      </c>
    </row>
    <row r="9" spans="1:7" x14ac:dyDescent="0.35">
      <c r="A9" s="1" t="s">
        <v>13</v>
      </c>
      <c r="B9">
        <v>0.54819047619047612</v>
      </c>
      <c r="C9">
        <v>0.58313657665086238</v>
      </c>
      <c r="D9">
        <v>0.56266089466089464</v>
      </c>
      <c r="E9">
        <v>0.56095238095238087</v>
      </c>
      <c r="F9">
        <v>0.55699855699855705</v>
      </c>
      <c r="G9">
        <v>0.54430158730158729</v>
      </c>
    </row>
    <row r="10" spans="1:7" x14ac:dyDescent="0.35">
      <c r="A10" s="1" t="s">
        <v>14</v>
      </c>
      <c r="B10">
        <v>0.47428571428571431</v>
      </c>
      <c r="C10">
        <v>0.46745163883735308</v>
      </c>
      <c r="D10">
        <v>0.50551370851370847</v>
      </c>
      <c r="E10">
        <v>0.502</v>
      </c>
      <c r="F10">
        <v>0.45670707070707078</v>
      </c>
      <c r="G10">
        <v>0.44472039072039071</v>
      </c>
    </row>
    <row r="11" spans="1:7" x14ac:dyDescent="0.35">
      <c r="A11" s="1" t="s">
        <v>15</v>
      </c>
      <c r="B11">
        <v>0.67780952380952397</v>
      </c>
      <c r="C11">
        <v>0.74440605373462498</v>
      </c>
      <c r="D11">
        <v>0.6702539682539681</v>
      </c>
      <c r="E11">
        <v>0.737079365079365</v>
      </c>
      <c r="F11">
        <v>0.64180952380952383</v>
      </c>
      <c r="G11">
        <v>0.69601587301587309</v>
      </c>
    </row>
    <row r="12" spans="1:7" x14ac:dyDescent="0.35">
      <c r="A12" s="1" t="s">
        <v>16</v>
      </c>
      <c r="B12">
        <v>0.54533333333333334</v>
      </c>
      <c r="C12">
        <v>0.58094667766096342</v>
      </c>
      <c r="D12">
        <v>0.55732756132756134</v>
      </c>
      <c r="E12">
        <v>0.54761904761904756</v>
      </c>
      <c r="F12">
        <v>0.55699855699855705</v>
      </c>
      <c r="G12">
        <v>0.54041269841269846</v>
      </c>
    </row>
    <row r="13" spans="1:7" x14ac:dyDescent="0.35">
      <c r="A13" s="1" t="s">
        <v>17</v>
      </c>
      <c r="B13">
        <v>0.47695238095238102</v>
      </c>
      <c r="C13">
        <v>0.46994944684944678</v>
      </c>
      <c r="D13">
        <v>0.50733189033189041</v>
      </c>
      <c r="E13">
        <v>0.50700000000000001</v>
      </c>
      <c r="F13">
        <v>0.45670707070707078</v>
      </c>
      <c r="G13">
        <v>0.44805372405372412</v>
      </c>
    </row>
    <row r="14" spans="1:7" x14ac:dyDescent="0.35">
      <c r="A14" s="1" t="s">
        <v>18</v>
      </c>
      <c r="B14">
        <v>0.68476190476190479</v>
      </c>
      <c r="C14">
        <v>0.7541363636363636</v>
      </c>
      <c r="D14">
        <v>0.66739682539682532</v>
      </c>
      <c r="E14">
        <v>0.72965079365079344</v>
      </c>
      <c r="F14">
        <v>0.64180952380952383</v>
      </c>
      <c r="G14">
        <v>0.68926984126984114</v>
      </c>
    </row>
    <row r="15" spans="1:7" x14ac:dyDescent="0.35">
      <c r="A15" s="1" t="s">
        <v>19</v>
      </c>
      <c r="B15">
        <v>0.56247619047619057</v>
      </c>
      <c r="C15">
        <v>0.63127947502233217</v>
      </c>
      <c r="D15">
        <v>0.59782539682539682</v>
      </c>
      <c r="E15">
        <v>0.55649206349206348</v>
      </c>
      <c r="F15">
        <v>0.58190331890331881</v>
      </c>
      <c r="G15">
        <v>0.54517748917748921</v>
      </c>
    </row>
    <row r="16" spans="1:7" x14ac:dyDescent="0.35">
      <c r="A16" s="1" t="s">
        <v>20</v>
      </c>
      <c r="B16">
        <v>0.55961904761904768</v>
      </c>
      <c r="C16">
        <v>0.63214614168899874</v>
      </c>
      <c r="D16">
        <v>0.59182539682539681</v>
      </c>
      <c r="E16">
        <v>0.55649206349206348</v>
      </c>
      <c r="F16">
        <v>0.57618903318903314</v>
      </c>
      <c r="G16">
        <v>0.54339971139971133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J2" sqref="J2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3.5079436902892731E-2</v>
      </c>
      <c r="C2">
        <v>8.2320240636056339E-3</v>
      </c>
      <c r="D2">
        <v>6.324107135854018E-2</v>
      </c>
      <c r="E2">
        <v>8.5102693881691491E-2</v>
      </c>
      <c r="F2">
        <v>6.6042657828567344E-2</v>
      </c>
    </row>
    <row r="3" spans="1:7" x14ac:dyDescent="0.35">
      <c r="A3" s="1" t="s">
        <v>7</v>
      </c>
      <c r="B3">
        <v>4.7407147580542743E-2</v>
      </c>
      <c r="C3">
        <v>6.666591159037244E-2</v>
      </c>
      <c r="D3">
        <v>5.263857403025396E-2</v>
      </c>
      <c r="E3">
        <v>5.9864054017973609E-2</v>
      </c>
      <c r="F3">
        <v>6.3022847247058159E-2</v>
      </c>
      <c r="G3">
        <v>7.9616534062870836E-2</v>
      </c>
    </row>
    <row r="4" spans="1:7" x14ac:dyDescent="0.35">
      <c r="A4" s="1" t="s">
        <v>8</v>
      </c>
      <c r="B4">
        <v>2.138726176924936E-2</v>
      </c>
      <c r="C4">
        <v>1.086577171798906E-2</v>
      </c>
      <c r="D4">
        <v>2.212631839680762E-2</v>
      </c>
      <c r="E4">
        <v>6.4433789876925246E-2</v>
      </c>
      <c r="F4">
        <v>4.9666856563599787E-2</v>
      </c>
      <c r="G4">
        <v>4.3323389753956727E-2</v>
      </c>
    </row>
    <row r="5" spans="1:7" x14ac:dyDescent="0.35">
      <c r="A5" s="1" t="s">
        <v>9</v>
      </c>
      <c r="B5">
        <v>2.6923929118605121E-2</v>
      </c>
      <c r="C5">
        <v>2.9861528784694901E-2</v>
      </c>
      <c r="D5">
        <v>6.1036288741355783E-2</v>
      </c>
      <c r="E5">
        <v>7.6513184796607611E-2</v>
      </c>
      <c r="F5">
        <v>4.0897366305583792E-2</v>
      </c>
      <c r="G5">
        <v>3.1748361124038088E-2</v>
      </c>
    </row>
    <row r="6" spans="1:7" x14ac:dyDescent="0.35">
      <c r="A6" s="1" t="s">
        <v>10</v>
      </c>
      <c r="B6">
        <v>5.3284841901025039E-2</v>
      </c>
      <c r="C6">
        <v>6.3708777039115677E-2</v>
      </c>
      <c r="D6">
        <v>5.6932997577432462E-2</v>
      </c>
      <c r="E6">
        <v>5.9864054017973609E-2</v>
      </c>
      <c r="F6">
        <v>7.8803391508368889E-2</v>
      </c>
      <c r="G6">
        <v>8.6291001479041743E-2</v>
      </c>
    </row>
    <row r="7" spans="1:7" x14ac:dyDescent="0.35">
      <c r="A7" s="1" t="s">
        <v>11</v>
      </c>
      <c r="B7">
        <v>2.148247189313781E-2</v>
      </c>
      <c r="C7">
        <v>7.3598000532708093E-3</v>
      </c>
      <c r="D7">
        <v>2.2263623448008831E-2</v>
      </c>
      <c r="E7">
        <v>6.3731987164662163E-2</v>
      </c>
      <c r="F7">
        <v>4.9666856563599787E-2</v>
      </c>
      <c r="G7">
        <v>4.4668595754870311E-2</v>
      </c>
    </row>
    <row r="8" spans="1:7" x14ac:dyDescent="0.35">
      <c r="A8" s="1" t="s">
        <v>12</v>
      </c>
      <c r="B8">
        <v>3.4189017079888237E-2</v>
      </c>
      <c r="C8">
        <v>1.79917897129079E-2</v>
      </c>
      <c r="D8">
        <v>6.3079587756534938E-2</v>
      </c>
      <c r="E8">
        <v>9.7907481356215881E-2</v>
      </c>
      <c r="F8">
        <v>2.5549655760789991E-2</v>
      </c>
      <c r="G8">
        <v>7.0539322319742054E-2</v>
      </c>
    </row>
    <row r="9" spans="1:7" x14ac:dyDescent="0.35">
      <c r="A9" s="1" t="s">
        <v>13</v>
      </c>
      <c r="B9">
        <v>1.01149851789347E-2</v>
      </c>
      <c r="C9">
        <v>1.462757569199459E-2</v>
      </c>
      <c r="D9">
        <v>1.267675576809902E-2</v>
      </c>
      <c r="E9">
        <v>4.8182480201180163E-2</v>
      </c>
      <c r="F9">
        <v>3.5623788151426881E-2</v>
      </c>
      <c r="G9">
        <v>1.9777468850296891E-2</v>
      </c>
    </row>
    <row r="10" spans="1:7" x14ac:dyDescent="0.35">
      <c r="A10" s="1" t="s">
        <v>14</v>
      </c>
      <c r="B10">
        <v>1.9166296949998191E-2</v>
      </c>
      <c r="C10">
        <v>5.3425899113635718E-2</v>
      </c>
      <c r="D10">
        <v>4.8498716171966223E-2</v>
      </c>
      <c r="E10">
        <v>5.6870448577365569E-2</v>
      </c>
      <c r="F10">
        <v>3.4281141439574607E-2</v>
      </c>
      <c r="G10">
        <v>2.5368338004728819E-2</v>
      </c>
    </row>
    <row r="11" spans="1:7" x14ac:dyDescent="0.35">
      <c r="A11" s="1" t="s">
        <v>15</v>
      </c>
      <c r="B11">
        <v>1.9088052323288481E-2</v>
      </c>
      <c r="C11">
        <v>2.0723991324352091E-2</v>
      </c>
      <c r="D11">
        <v>9.7993217611775374E-3</v>
      </c>
      <c r="E11">
        <v>4.5981958570545572E-2</v>
      </c>
      <c r="F11">
        <v>3.956327953368987E-2</v>
      </c>
      <c r="G11">
        <v>1.8053366342075348E-2</v>
      </c>
    </row>
    <row r="12" spans="1:7" x14ac:dyDescent="0.35">
      <c r="A12" s="1" t="s">
        <v>16</v>
      </c>
      <c r="B12">
        <v>1.5787707264839732E-2</v>
      </c>
      <c r="C12">
        <v>1.0543369473411659E-2</v>
      </c>
      <c r="D12">
        <v>2.0474594875428648E-2</v>
      </c>
      <c r="E12">
        <v>5.1525573569543612E-2</v>
      </c>
      <c r="F12">
        <v>3.5623788151426881E-2</v>
      </c>
      <c r="G12">
        <v>2.4503214756103418E-2</v>
      </c>
    </row>
    <row r="13" spans="1:7" x14ac:dyDescent="0.35">
      <c r="A13" s="1" t="s">
        <v>17</v>
      </c>
      <c r="B13">
        <v>1.8594613122843079E-2</v>
      </c>
      <c r="C13">
        <v>5.2110533497892832E-2</v>
      </c>
      <c r="D13">
        <v>5.1731405607812142E-2</v>
      </c>
      <c r="E13">
        <v>5.9619510368912589E-2</v>
      </c>
      <c r="F13">
        <v>3.4281141439574607E-2</v>
      </c>
      <c r="G13">
        <v>1.82566792674882E-2</v>
      </c>
    </row>
    <row r="14" spans="1:7" x14ac:dyDescent="0.35">
      <c r="A14" s="1" t="s">
        <v>18</v>
      </c>
      <c r="B14">
        <v>8.0249045458822797E-3</v>
      </c>
      <c r="C14">
        <v>2.4984606903838712E-2</v>
      </c>
      <c r="D14">
        <v>1.220086776009267E-2</v>
      </c>
      <c r="E14">
        <v>3.2436372974812527E-2</v>
      </c>
      <c r="F14">
        <v>3.956327953368987E-2</v>
      </c>
      <c r="G14">
        <v>1.0860611624473399E-2</v>
      </c>
    </row>
    <row r="15" spans="1:7" x14ac:dyDescent="0.35">
      <c r="A15" s="1" t="s">
        <v>19</v>
      </c>
      <c r="B15">
        <v>2.9643383051368391E-2</v>
      </c>
      <c r="C15">
        <v>2.855900359530612E-2</v>
      </c>
      <c r="D15">
        <v>3.7389191286981337E-2</v>
      </c>
      <c r="E15">
        <v>3.1507906521116437E-2</v>
      </c>
      <c r="F15">
        <v>5.9222467005616508E-2</v>
      </c>
      <c r="G15">
        <v>2.2194453799922569E-2</v>
      </c>
    </row>
    <row r="16" spans="1:7" x14ac:dyDescent="0.35">
      <c r="A16" s="1" t="s">
        <v>20</v>
      </c>
      <c r="B16">
        <v>2.4849661344457721E-2</v>
      </c>
      <c r="C16">
        <v>2.604844805003247E-2</v>
      </c>
      <c r="D16">
        <v>2.5636640563462969E-2</v>
      </c>
      <c r="E16">
        <v>3.1507906521116437E-2</v>
      </c>
      <c r="F16">
        <v>5.3963338376039283E-2</v>
      </c>
      <c r="G16">
        <v>1.932311104004053E-2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2E9A-B744-493D-A5E0-BC17B650B004}">
  <dimension ref="A1:F38"/>
  <sheetViews>
    <sheetView tabSelected="1" topLeftCell="A19" workbookViewId="0">
      <selection activeCell="A23" sqref="A23:F23"/>
    </sheetView>
  </sheetViews>
  <sheetFormatPr defaultRowHeight="14.5" x14ac:dyDescent="0.35"/>
  <cols>
    <col min="1" max="1" width="23.7265625" customWidth="1"/>
    <col min="2" max="2" width="21.54296875" customWidth="1"/>
    <col min="3" max="3" width="20.1796875" customWidth="1"/>
    <col min="4" max="4" width="20.6328125" customWidth="1"/>
    <col min="5" max="5" width="22.08984375" customWidth="1"/>
    <col min="6" max="6" width="23.1796875" customWidth="1"/>
  </cols>
  <sheetData>
    <row r="1" spans="1:6" x14ac:dyDescent="0.35">
      <c r="A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6</v>
      </c>
      <c r="B2" s="2" t="str">
        <f>ROUND(mean!B2,3)&amp;"±"&amp;ROUND(std!B2*0.5,3)</f>
        <v>0.463±0.018</v>
      </c>
      <c r="C2" s="2" t="str">
        <f>ROUND(mean!C2,3)&amp;"±"&amp;ROUND(std!C2*0.5,3)</f>
        <v>0.569±0.004</v>
      </c>
      <c r="D2" s="2" t="str">
        <f>ROUND(mean!D2,3)&amp;"±"&amp;ROUND(std!D2*0.5,3)</f>
        <v>0.69±0.032</v>
      </c>
      <c r="E2" s="2" t="str">
        <f>ROUND(mean!E2,3)&amp;"±"&amp;ROUND(std!E2*0.5,3)</f>
        <v>0.391±0.043</v>
      </c>
      <c r="F2" s="2" t="str">
        <f>ROUND(mean!F2,3)&amp;"±"&amp;ROUND(std!F2*0.5,3)</f>
        <v>0.714±0.033</v>
      </c>
    </row>
    <row r="3" spans="1:6" x14ac:dyDescent="0.35">
      <c r="A3" s="1" t="s">
        <v>7</v>
      </c>
      <c r="B3" s="2" t="str">
        <f>ROUND(mean!B3,3)&amp;"±"&amp;ROUND(std!B3*0.5,3)</f>
        <v>0.438±0.024</v>
      </c>
      <c r="C3" s="2" t="str">
        <f>ROUND(mean!C3,3)&amp;"±"&amp;ROUND(std!C3*0.5,3)</f>
        <v>0.404±0.033</v>
      </c>
      <c r="D3" s="2" t="str">
        <f>ROUND(mean!D3,3)&amp;"±"&amp;ROUND(std!D3*0.5,3)</f>
        <v>0.456±0.026</v>
      </c>
      <c r="E3" s="2" t="str">
        <f>ROUND(mean!E3,3)&amp;"±"&amp;ROUND(std!E3*0.5,3)</f>
        <v>0.464±0.03</v>
      </c>
      <c r="F3" s="2" t="str">
        <f>ROUND(mean!F3,3)&amp;"±"&amp;ROUND(std!F3*0.5,3)</f>
        <v>0.414±0.032</v>
      </c>
    </row>
    <row r="4" spans="1:6" x14ac:dyDescent="0.35">
      <c r="A4" s="1" t="s">
        <v>8</v>
      </c>
      <c r="B4" s="2" t="str">
        <f>ROUND(mean!B4,3)&amp;"±"&amp;ROUND(std!B4*0.5,3)</f>
        <v>0.642±0.011</v>
      </c>
      <c r="C4" s="2" t="str">
        <f>ROUND(mean!C4,3)&amp;"±"&amp;ROUND(std!C4*0.5,3)</f>
        <v>0.683±0.005</v>
      </c>
      <c r="D4" s="2" t="str">
        <f>ROUND(mean!D4,3)&amp;"±"&amp;ROUND(std!D4*0.5,3)</f>
        <v>0.648±0.011</v>
      </c>
      <c r="E4" s="2" t="str">
        <f>ROUND(mean!E4,3)&amp;"±"&amp;ROUND(std!E4*0.5,3)</f>
        <v>0.72±0.032</v>
      </c>
      <c r="F4" s="2" t="str">
        <f>ROUND(mean!F4,3)&amp;"±"&amp;ROUND(std!F4*0.5,3)</f>
        <v>0.596±0.025</v>
      </c>
    </row>
    <row r="5" spans="1:6" x14ac:dyDescent="0.35">
      <c r="A5" s="1" t="s">
        <v>9</v>
      </c>
      <c r="B5" s="2" t="str">
        <f>ROUND(mean!B5,3)&amp;"±"&amp;ROUND(std!B5*0.5,3)</f>
        <v>0.536±0.013</v>
      </c>
      <c r="C5" s="2" t="str">
        <f>ROUND(mean!C5,3)&amp;"±"&amp;ROUND(std!C5*0.5,3)</f>
        <v>0.563±0.015</v>
      </c>
      <c r="D5" s="2" t="str">
        <f>ROUND(mean!D5,3)&amp;"±"&amp;ROUND(std!D5*0.5,3)</f>
        <v>0.546±0.031</v>
      </c>
      <c r="E5" s="2" t="str">
        <f>ROUND(mean!E5,3)&amp;"±"&amp;ROUND(std!E5*0.5,3)</f>
        <v>0.553±0.038</v>
      </c>
      <c r="F5" s="2" t="str">
        <f>ROUND(mean!F5,3)&amp;"±"&amp;ROUND(std!F5*0.5,3)</f>
        <v>0.537±0.02</v>
      </c>
    </row>
    <row r="6" spans="1:6" x14ac:dyDescent="0.35">
      <c r="A6" s="1" t="s">
        <v>10</v>
      </c>
      <c r="B6" s="2" t="str">
        <f>ROUND(mean!B6,3)&amp;"±"&amp;ROUND(std!B6*0.5,3)</f>
        <v>0.438±0.027</v>
      </c>
      <c r="C6" s="2" t="str">
        <f>ROUND(mean!C6,3)&amp;"±"&amp;ROUND(std!C6*0.5,3)</f>
        <v>0.398±0.032</v>
      </c>
      <c r="D6" s="2" t="str">
        <f>ROUND(mean!D6,3)&amp;"±"&amp;ROUND(std!D6*0.5,3)</f>
        <v>0.452±0.028</v>
      </c>
      <c r="E6" s="2" t="str">
        <f>ROUND(mean!E6,3)&amp;"±"&amp;ROUND(std!E6*0.5,3)</f>
        <v>0.464±0.03</v>
      </c>
      <c r="F6" s="2" t="str">
        <f>ROUND(mean!F6,3)&amp;"±"&amp;ROUND(std!F6*0.5,3)</f>
        <v>0.409±0.039</v>
      </c>
    </row>
    <row r="7" spans="1:6" x14ac:dyDescent="0.35">
      <c r="A7" s="1" t="s">
        <v>11</v>
      </c>
      <c r="B7" s="2" t="str">
        <f>ROUND(mean!B7,3)&amp;"±"&amp;ROUND(std!B7*0.5,3)</f>
        <v>0.64±0.011</v>
      </c>
      <c r="C7" s="2" t="str">
        <f>ROUND(mean!C7,3)&amp;"±"&amp;ROUND(std!C7*0.5,3)</f>
        <v>0.68±0.004</v>
      </c>
      <c r="D7" s="2" t="str">
        <f>ROUND(mean!D7,3)&amp;"±"&amp;ROUND(std!D7*0.5,3)</f>
        <v>0.646±0.011</v>
      </c>
      <c r="E7" s="2" t="str">
        <f>ROUND(mean!E7,3)&amp;"±"&amp;ROUND(std!E7*0.5,3)</f>
        <v>0.714±0.032</v>
      </c>
      <c r="F7" s="2" t="str">
        <f>ROUND(mean!F7,3)&amp;"±"&amp;ROUND(std!F7*0.5,3)</f>
        <v>0.596±0.025</v>
      </c>
    </row>
    <row r="8" spans="1:6" x14ac:dyDescent="0.35">
      <c r="A8" s="1" t="s">
        <v>12</v>
      </c>
      <c r="B8" s="2" t="str">
        <f>ROUND(mean!B8,3)&amp;"±"&amp;ROUND(std!B8*0.5,3)</f>
        <v>0.555±0.017</v>
      </c>
      <c r="C8" s="2" t="str">
        <f>ROUND(mean!C8,3)&amp;"±"&amp;ROUND(std!C8*0.5,3)</f>
        <v>0.589±0.009</v>
      </c>
      <c r="D8" s="2" t="str">
        <f>ROUND(mean!D8,3)&amp;"±"&amp;ROUND(std!D8*0.5,3)</f>
        <v>0.568±0.032</v>
      </c>
      <c r="E8" s="2" t="str">
        <f>ROUND(mean!E8,3)&amp;"±"&amp;ROUND(std!E8*0.5,3)</f>
        <v>0.579±0.049</v>
      </c>
      <c r="F8" s="2" t="str">
        <f>ROUND(mean!F8,3)&amp;"±"&amp;ROUND(std!F8*0.5,3)</f>
        <v>0.548±0.013</v>
      </c>
    </row>
    <row r="9" spans="1:6" x14ac:dyDescent="0.35">
      <c r="A9" s="1" t="s">
        <v>13</v>
      </c>
      <c r="B9" s="2" t="str">
        <f>ROUND(mean!B9,3)&amp;"±"&amp;ROUND(std!B9*0.5,3)</f>
        <v>0.548±0.005</v>
      </c>
      <c r="C9" s="2" t="str">
        <f>ROUND(mean!C9,3)&amp;"±"&amp;ROUND(std!C9*0.5,3)</f>
        <v>0.583±0.007</v>
      </c>
      <c r="D9" s="2" t="str">
        <f>ROUND(mean!D9,3)&amp;"±"&amp;ROUND(std!D9*0.5,3)</f>
        <v>0.563±0.006</v>
      </c>
      <c r="E9" s="2" t="str">
        <f>ROUND(mean!E9,3)&amp;"±"&amp;ROUND(std!E9*0.5,3)</f>
        <v>0.561±0.024</v>
      </c>
      <c r="F9" s="2" t="str">
        <f>ROUND(mean!F9,3)&amp;"±"&amp;ROUND(std!F9*0.5,3)</f>
        <v>0.557±0.018</v>
      </c>
    </row>
    <row r="10" spans="1:6" x14ac:dyDescent="0.35">
      <c r="A10" s="1" t="s">
        <v>14</v>
      </c>
      <c r="B10" s="2" t="str">
        <f>ROUND(mean!B10,3)&amp;"±"&amp;ROUND(std!B10*0.5,3)</f>
        <v>0.474±0.01</v>
      </c>
      <c r="C10" s="2" t="str">
        <f>ROUND(mean!C10,3)&amp;"±"&amp;ROUND(std!C10*0.5,3)</f>
        <v>0.467±0.027</v>
      </c>
      <c r="D10" s="2" t="str">
        <f>ROUND(mean!D10,3)&amp;"±"&amp;ROUND(std!D10*0.5,3)</f>
        <v>0.506±0.024</v>
      </c>
      <c r="E10" s="2" t="str">
        <f>ROUND(mean!E10,3)&amp;"±"&amp;ROUND(std!E10*0.5,3)</f>
        <v>0.502±0.028</v>
      </c>
      <c r="F10" s="2" t="str">
        <f>ROUND(mean!F10,3)&amp;"±"&amp;ROUND(std!F10*0.5,3)</f>
        <v>0.457±0.017</v>
      </c>
    </row>
    <row r="11" spans="1:6" x14ac:dyDescent="0.35">
      <c r="A11" s="1" t="s">
        <v>15</v>
      </c>
      <c r="B11" s="2" t="str">
        <f>ROUND(mean!B11,3)&amp;"±"&amp;ROUND(std!B11*0.5,3)</f>
        <v>0.678±0.01</v>
      </c>
      <c r="C11" s="2" t="str">
        <f>ROUND(mean!C11,3)&amp;"±"&amp;ROUND(std!C11*0.5,3)</f>
        <v>0.744±0.01</v>
      </c>
      <c r="D11" s="2" t="str">
        <f>ROUND(mean!D11,3)&amp;"±"&amp;ROUND(std!D11*0.5,3)</f>
        <v>0.67±0.005</v>
      </c>
      <c r="E11" s="2" t="str">
        <f>ROUND(mean!E11,3)&amp;"±"&amp;ROUND(std!E11*0.5,3)</f>
        <v>0.737±0.023</v>
      </c>
      <c r="F11" s="2" t="str">
        <f>ROUND(mean!F11,3)&amp;"±"&amp;ROUND(std!F11*0.5,3)</f>
        <v>0.642±0.02</v>
      </c>
    </row>
    <row r="12" spans="1:6" x14ac:dyDescent="0.35">
      <c r="A12" s="1" t="s">
        <v>16</v>
      </c>
      <c r="B12" s="2" t="str">
        <f>ROUND(mean!B12,3)&amp;"±"&amp;ROUND(std!B12*0.5,3)</f>
        <v>0.545±0.008</v>
      </c>
      <c r="C12" s="2" t="str">
        <f>ROUND(mean!C12,3)&amp;"±"&amp;ROUND(std!C12*0.5,3)</f>
        <v>0.581±0.005</v>
      </c>
      <c r="D12" s="2" t="str">
        <f>ROUND(mean!D12,3)&amp;"±"&amp;ROUND(std!D12*0.5,3)</f>
        <v>0.557±0.01</v>
      </c>
      <c r="E12" s="2" t="str">
        <f>ROUND(mean!E12,3)&amp;"±"&amp;ROUND(std!E12*0.5,3)</f>
        <v>0.548±0.026</v>
      </c>
      <c r="F12" s="2" t="str">
        <f>ROUND(mean!F12,3)&amp;"±"&amp;ROUND(std!F12*0.5,3)</f>
        <v>0.557±0.018</v>
      </c>
    </row>
    <row r="13" spans="1:6" x14ac:dyDescent="0.35">
      <c r="A13" s="1" t="s">
        <v>17</v>
      </c>
      <c r="B13" s="2" t="str">
        <f>ROUND(mean!B13,3)&amp;"±"&amp;ROUND(std!B13*0.5,3)</f>
        <v>0.477±0.009</v>
      </c>
      <c r="C13" s="2" t="str">
        <f>ROUND(mean!C13,3)&amp;"±"&amp;ROUND(std!C13*0.5,3)</f>
        <v>0.47±0.026</v>
      </c>
      <c r="D13" s="2" t="str">
        <f>ROUND(mean!D13,3)&amp;"±"&amp;ROUND(std!D13*0.5,3)</f>
        <v>0.507±0.026</v>
      </c>
      <c r="E13" s="2" t="str">
        <f>ROUND(mean!E13,3)&amp;"±"&amp;ROUND(std!E13*0.5,3)</f>
        <v>0.507±0.03</v>
      </c>
      <c r="F13" s="2" t="str">
        <f>ROUND(mean!F13,3)&amp;"±"&amp;ROUND(std!F13*0.5,3)</f>
        <v>0.457±0.017</v>
      </c>
    </row>
    <row r="14" spans="1:6" x14ac:dyDescent="0.35">
      <c r="A14" s="1" t="s">
        <v>18</v>
      </c>
      <c r="B14" s="3" t="str">
        <f>ROUND(mean!B14,3)&amp;"±"&amp;ROUND(std!B14*0.5,3)</f>
        <v>0.685±0.004</v>
      </c>
      <c r="C14" s="3" t="str">
        <f>ROUND(mean!C14,3)&amp;"±"&amp;ROUND(std!C14*0.5,3)</f>
        <v>0.754±0.012</v>
      </c>
      <c r="D14" s="2" t="str">
        <f>ROUND(mean!D14,3)&amp;"±"&amp;ROUND(std!D14*0.5,3)</f>
        <v>0.667±0.006</v>
      </c>
      <c r="E14" s="2" t="str">
        <f>ROUND(mean!E14,3)&amp;"±"&amp;ROUND(std!E14*0.5,3)</f>
        <v>0.73±0.016</v>
      </c>
      <c r="F14" s="2" t="str">
        <f>ROUND(mean!F14,3)&amp;"±"&amp;ROUND(std!F14*0.5,3)</f>
        <v>0.642±0.02</v>
      </c>
    </row>
    <row r="15" spans="1:6" x14ac:dyDescent="0.35">
      <c r="A15" s="1" t="s">
        <v>19</v>
      </c>
      <c r="B15" s="2" t="str">
        <f>ROUND(mean!B15,3)&amp;"±"&amp;ROUND(std!B15*0.5,3)</f>
        <v>0.562±0.015</v>
      </c>
      <c r="C15" s="2" t="str">
        <f>ROUND(mean!C15,3)&amp;"±"&amp;ROUND(std!C15*0.5,3)</f>
        <v>0.631±0.014</v>
      </c>
      <c r="D15" s="2" t="str">
        <f>ROUND(mean!D15,3)&amp;"±"&amp;ROUND(std!D15*0.5,3)</f>
        <v>0.598±0.019</v>
      </c>
      <c r="E15" s="2" t="str">
        <f>ROUND(mean!E15,3)&amp;"±"&amp;ROUND(std!E15*0.5,3)</f>
        <v>0.556±0.016</v>
      </c>
      <c r="F15" s="2" t="str">
        <f>ROUND(mean!F15,3)&amp;"±"&amp;ROUND(std!F15*0.5,3)</f>
        <v>0.582±0.03</v>
      </c>
    </row>
    <row r="16" spans="1:6" x14ac:dyDescent="0.35">
      <c r="A16" s="1" t="s">
        <v>20</v>
      </c>
      <c r="B16" s="2" t="str">
        <f>ROUND(mean!B16,3)&amp;"±"&amp;ROUND(std!B16*0.5,3)</f>
        <v>0.56±0.012</v>
      </c>
      <c r="C16" s="2" t="str">
        <f>ROUND(mean!C16,3)&amp;"±"&amp;ROUND(std!C16*0.5,3)</f>
        <v>0.632±0.013</v>
      </c>
      <c r="D16" s="2" t="str">
        <f>ROUND(mean!D16,3)&amp;"±"&amp;ROUND(std!D16*0.5,3)</f>
        <v>0.592±0.013</v>
      </c>
      <c r="E16" s="2" t="str">
        <f>ROUND(mean!E16,3)&amp;"±"&amp;ROUND(std!E16*0.5,3)</f>
        <v>0.556±0.016</v>
      </c>
      <c r="F16" s="2" t="str">
        <f>ROUND(mean!F16,3)&amp;"±"&amp;ROUND(std!F16*0.5,3)</f>
        <v>0.576±0.027</v>
      </c>
    </row>
    <row r="23" spans="1:6" ht="21" x14ac:dyDescent="0.5">
      <c r="A23" s="7" t="s">
        <v>93</v>
      </c>
      <c r="B23" s="6" t="s">
        <v>91</v>
      </c>
      <c r="C23" s="6" t="s">
        <v>94</v>
      </c>
      <c r="D23" s="6" t="s">
        <v>95</v>
      </c>
      <c r="E23" s="6" t="s">
        <v>96</v>
      </c>
      <c r="F23" s="6" t="s">
        <v>97</v>
      </c>
    </row>
    <row r="24" spans="1:6" ht="21" x14ac:dyDescent="0.5">
      <c r="A24" s="8" t="s">
        <v>98</v>
      </c>
      <c r="B24" s="4" t="s">
        <v>23</v>
      </c>
      <c r="C24" s="4" t="s">
        <v>22</v>
      </c>
      <c r="D24" s="4" t="s">
        <v>24</v>
      </c>
      <c r="E24" s="4" t="s">
        <v>85</v>
      </c>
      <c r="F24" s="4" t="s">
        <v>90</v>
      </c>
    </row>
    <row r="25" spans="1:6" ht="21" x14ac:dyDescent="0.5">
      <c r="A25" s="9" t="s">
        <v>7</v>
      </c>
      <c r="B25" s="4" t="s">
        <v>26</v>
      </c>
      <c r="C25" s="4" t="s">
        <v>25</v>
      </c>
      <c r="D25" s="4" t="s">
        <v>27</v>
      </c>
      <c r="E25" s="4" t="s">
        <v>28</v>
      </c>
      <c r="F25" s="4" t="s">
        <v>29</v>
      </c>
    </row>
    <row r="26" spans="1:6" ht="21" x14ac:dyDescent="0.5">
      <c r="A26" s="8" t="s">
        <v>8</v>
      </c>
      <c r="B26" s="4" t="s">
        <v>31</v>
      </c>
      <c r="C26" s="4" t="s">
        <v>30</v>
      </c>
      <c r="D26" s="4" t="s">
        <v>32</v>
      </c>
      <c r="E26" s="4" t="s">
        <v>33</v>
      </c>
      <c r="F26" s="4" t="s">
        <v>34</v>
      </c>
    </row>
    <row r="27" spans="1:6" ht="21" x14ac:dyDescent="0.5">
      <c r="A27" s="9" t="s">
        <v>9</v>
      </c>
      <c r="B27" s="4" t="s">
        <v>36</v>
      </c>
      <c r="C27" s="4" t="s">
        <v>35</v>
      </c>
      <c r="D27" s="4" t="s">
        <v>37</v>
      </c>
      <c r="E27" s="4" t="s">
        <v>38</v>
      </c>
      <c r="F27" s="4" t="s">
        <v>39</v>
      </c>
    </row>
    <row r="28" spans="1:6" ht="21" x14ac:dyDescent="0.5">
      <c r="A28" s="8" t="s">
        <v>99</v>
      </c>
      <c r="B28" s="4" t="s">
        <v>41</v>
      </c>
      <c r="C28" s="4" t="s">
        <v>40</v>
      </c>
      <c r="D28" s="4" t="s">
        <v>42</v>
      </c>
      <c r="E28" s="4" t="s">
        <v>28</v>
      </c>
      <c r="F28" s="4" t="s">
        <v>43</v>
      </c>
    </row>
    <row r="29" spans="1:6" ht="21" x14ac:dyDescent="0.5">
      <c r="A29" s="9" t="s">
        <v>100</v>
      </c>
      <c r="B29" s="4" t="s">
        <v>45</v>
      </c>
      <c r="C29" s="4" t="s">
        <v>44</v>
      </c>
      <c r="D29" s="4" t="s">
        <v>46</v>
      </c>
      <c r="E29" s="4" t="s">
        <v>47</v>
      </c>
      <c r="F29" s="4" t="s">
        <v>34</v>
      </c>
    </row>
    <row r="30" spans="1:6" ht="21" x14ac:dyDescent="0.5">
      <c r="A30" s="8" t="s">
        <v>101</v>
      </c>
      <c r="B30" s="4" t="s">
        <v>49</v>
      </c>
      <c r="C30" s="4" t="s">
        <v>48</v>
      </c>
      <c r="D30" s="4" t="s">
        <v>50</v>
      </c>
      <c r="E30" s="4" t="s">
        <v>51</v>
      </c>
      <c r="F30" s="4" t="s">
        <v>52</v>
      </c>
    </row>
    <row r="31" spans="1:6" ht="21" x14ac:dyDescent="0.5">
      <c r="A31" s="9" t="s">
        <v>13</v>
      </c>
      <c r="B31" s="4" t="s">
        <v>54</v>
      </c>
      <c r="C31" s="4" t="s">
        <v>53</v>
      </c>
      <c r="D31" s="4" t="s">
        <v>55</v>
      </c>
      <c r="E31" s="4" t="s">
        <v>56</v>
      </c>
      <c r="F31" s="4" t="s">
        <v>57</v>
      </c>
    </row>
    <row r="32" spans="1:6" ht="21" x14ac:dyDescent="0.5">
      <c r="A32" s="8" t="s">
        <v>14</v>
      </c>
      <c r="B32" s="4" t="s">
        <v>59</v>
      </c>
      <c r="C32" s="4" t="s">
        <v>58</v>
      </c>
      <c r="D32" s="4" t="s">
        <v>60</v>
      </c>
      <c r="E32" s="4" t="s">
        <v>61</v>
      </c>
      <c r="F32" s="4" t="s">
        <v>62</v>
      </c>
    </row>
    <row r="33" spans="1:6" ht="21" x14ac:dyDescent="0.5">
      <c r="A33" s="9" t="s">
        <v>15</v>
      </c>
      <c r="B33" s="4" t="s">
        <v>64</v>
      </c>
      <c r="C33" s="4" t="s">
        <v>63</v>
      </c>
      <c r="D33" s="4" t="s">
        <v>86</v>
      </c>
      <c r="E33" s="4" t="s">
        <v>89</v>
      </c>
      <c r="F33" s="4" t="s">
        <v>65</v>
      </c>
    </row>
    <row r="34" spans="1:6" ht="21" x14ac:dyDescent="0.5">
      <c r="A34" s="8" t="s">
        <v>102</v>
      </c>
      <c r="B34" s="4" t="s">
        <v>67</v>
      </c>
      <c r="C34" s="4" t="s">
        <v>66</v>
      </c>
      <c r="D34" s="4" t="s">
        <v>68</v>
      </c>
      <c r="E34" s="4" t="s">
        <v>69</v>
      </c>
      <c r="F34" s="4" t="s">
        <v>57</v>
      </c>
    </row>
    <row r="35" spans="1:6" ht="21" x14ac:dyDescent="0.5">
      <c r="A35" s="9" t="s">
        <v>103</v>
      </c>
      <c r="B35" s="4" t="s">
        <v>71</v>
      </c>
      <c r="C35" s="4" t="s">
        <v>70</v>
      </c>
      <c r="D35" s="4" t="s">
        <v>72</v>
      </c>
      <c r="E35" s="4" t="s">
        <v>73</v>
      </c>
      <c r="F35" s="4" t="s">
        <v>62</v>
      </c>
    </row>
    <row r="36" spans="1:6" ht="21" x14ac:dyDescent="0.5">
      <c r="A36" s="8" t="s">
        <v>104</v>
      </c>
      <c r="B36" s="5" t="s">
        <v>75</v>
      </c>
      <c r="C36" s="5" t="s">
        <v>74</v>
      </c>
      <c r="D36" s="5" t="s">
        <v>87</v>
      </c>
      <c r="E36" s="5" t="s">
        <v>88</v>
      </c>
      <c r="F36" s="5" t="s">
        <v>92</v>
      </c>
    </row>
    <row r="37" spans="1:6" ht="21" x14ac:dyDescent="0.5">
      <c r="A37" s="9" t="s">
        <v>19</v>
      </c>
      <c r="B37" s="4" t="s">
        <v>77</v>
      </c>
      <c r="C37" s="4" t="s">
        <v>76</v>
      </c>
      <c r="D37" s="4" t="s">
        <v>78</v>
      </c>
      <c r="E37" s="4" t="s">
        <v>79</v>
      </c>
      <c r="F37" s="4" t="s">
        <v>80</v>
      </c>
    </row>
    <row r="38" spans="1:6" ht="21" x14ac:dyDescent="0.5">
      <c r="A38" s="8" t="s">
        <v>105</v>
      </c>
      <c r="B38" s="4" t="s">
        <v>82</v>
      </c>
      <c r="C38" s="4" t="s">
        <v>81</v>
      </c>
      <c r="D38" s="4" t="s">
        <v>83</v>
      </c>
      <c r="E38" s="4" t="s">
        <v>79</v>
      </c>
      <c r="F38" s="4" t="s"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mean</vt:lpstr>
      <vt:lpstr>std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方轩固</cp:lastModifiedBy>
  <dcterms:created xsi:type="dcterms:W3CDTF">2022-06-27T14:38:26Z</dcterms:created>
  <dcterms:modified xsi:type="dcterms:W3CDTF">2022-10-04T21:37:46Z</dcterms:modified>
</cp:coreProperties>
</file>