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1\"/>
    </mc:Choice>
  </mc:AlternateContent>
  <xr:revisionPtr revIDLastSave="0" documentId="13_ncr:1_{E41A9F99-9E73-4350-9F45-D62A3F90F546}" xr6:coauthVersionLast="47" xr6:coauthVersionMax="47" xr10:uidLastSave="{00000000-0000-0000-0000-000000000000}"/>
  <bookViews>
    <workbookView xWindow="-28920" yWindow="1830" windowWidth="29040" windowHeight="15840" activeTab="2" xr2:uid="{00000000-000D-0000-FFFF-FFFF00000000}"/>
  </bookViews>
  <sheets>
    <sheet name="mean" sheetId="1" r:id="rId1"/>
    <sheet name="std" sheetId="2" r:id="rId2"/>
    <sheet name="Sheet1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C2" i="3"/>
  <c r="D2" i="3"/>
  <c r="E2" i="3"/>
  <c r="F2" i="3"/>
  <c r="B2" i="3"/>
</calcChain>
</file>

<file path=xl/sharedStrings.xml><?xml version="1.0" encoding="utf-8"?>
<sst xmlns="http://schemas.openxmlformats.org/spreadsheetml/2006/main" count="159" uniqueCount="106">
  <si>
    <t>accuracy</t>
  </si>
  <si>
    <t>auc</t>
  </si>
  <si>
    <t>precision</t>
  </si>
  <si>
    <t>recall</t>
  </si>
  <si>
    <t>specificity</t>
  </si>
  <si>
    <t>NPV</t>
  </si>
  <si>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</si>
  <si>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</si>
  <si>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</si>
  <si>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</si>
  <si>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</si>
  <si>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</si>
  <si>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</si>
  <si>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</si>
  <si>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</si>
  <si>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</si>
  <si>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</si>
  <si>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</si>
  <si>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</si>
  <si>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</si>
  <si>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</si>
  <si>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features/metric</t>
  </si>
  <si>
    <t>0.244±0.041</t>
  </si>
  <si>
    <t>0.451±0.026</t>
  </si>
  <si>
    <t>0.415±0.014</t>
  </si>
  <si>
    <t>0.489±0.028</t>
  </si>
  <si>
    <t>0.478±0.032</t>
  </si>
  <si>
    <t>0.433±0.03</t>
  </si>
  <si>
    <t>0.487±0.039</t>
  </si>
  <si>
    <t>0.513±0.035</t>
  </si>
  <si>
    <t>0.533±0.025</t>
  </si>
  <si>
    <t>0.508±0.049</t>
  </si>
  <si>
    <t>0.489±0.045</t>
  </si>
  <si>
    <t>0.451±0.02</t>
  </si>
  <si>
    <t>0.414±0.015</t>
  </si>
  <si>
    <t>0.491±0.024</t>
  </si>
  <si>
    <t>0.472±0.027</t>
  </si>
  <si>
    <t>0.44±0.026</t>
  </si>
  <si>
    <t>0.482±0.041</t>
  </si>
  <si>
    <t>0.506±0.035</t>
  </si>
  <si>
    <t>0.529±0.028</t>
  </si>
  <si>
    <t>0.497±0.045</t>
  </si>
  <si>
    <t>0.492±0.05</t>
  </si>
  <si>
    <t>0.409±0.02</t>
  </si>
  <si>
    <t>0.401±0.027</t>
  </si>
  <si>
    <t>0.454±0.01</t>
  </si>
  <si>
    <t>0.508±0.016</t>
  </si>
  <si>
    <t>0.349±0.028</t>
  </si>
  <si>
    <t>0.411±0.015</t>
  </si>
  <si>
    <t>0.446±0.006</t>
  </si>
  <si>
    <t>0.466±0.031</t>
  </si>
  <si>
    <t>0.43±0.031</t>
  </si>
  <si>
    <t>0.416±0.039</t>
  </si>
  <si>
    <t>0.526±0.011</t>
  </si>
  <si>
    <t>0.548±0.023</t>
  </si>
  <si>
    <t>0.578±0.007</t>
  </si>
  <si>
    <t>0.545±0.006</t>
  </si>
  <si>
    <t>0.511±0.019</t>
  </si>
  <si>
    <t>0.399±0.028</t>
  </si>
  <si>
    <t>0.42±0.018</t>
  </si>
  <si>
    <t>0.443±0.007</t>
  </si>
  <si>
    <t>0.469±0.025</t>
  </si>
  <si>
    <t>0.429±0.025</t>
  </si>
  <si>
    <t>0.531±0.015</t>
  </si>
  <si>
    <t>0.554±0.025</t>
  </si>
  <si>
    <t>0.58±0.011</t>
  </si>
  <si>
    <t>0.56±0.008</t>
  </si>
  <si>
    <t>0.504±0.02</t>
  </si>
  <si>
    <t>0.424±0.019</t>
  </si>
  <si>
    <t>0.429±0.023</t>
  </si>
  <si>
    <t>0.479±0.006</t>
  </si>
  <si>
    <t>0.454±0.011</t>
  </si>
  <si>
    <t>0.44±0.021</t>
  </si>
  <si>
    <t>0.82±0.042</t>
  </si>
  <si>
    <t>0.638±0.028</t>
  </si>
  <si>
    <t>0.641±0.02</t>
  </si>
  <si>
    <t>0.622±0.01</t>
  </si>
  <si>
    <t>0.613±0.026</t>
  </si>
  <si>
    <t>0.612±0.021</t>
  </si>
  <si>
    <t>0.599±0.036</t>
  </si>
  <si>
    <t>0.589±0.01</t>
  </si>
  <si>
    <t>0.578±0.005</t>
  </si>
  <si>
    <t>0.572±0.029</t>
  </si>
  <si>
    <t>0.583±0.042</t>
  </si>
  <si>
    <t>0.61±0.038</t>
  </si>
  <si>
    <t>0.576±0.005</t>
  </si>
  <si>
    <t>0.566±0.01</t>
  </si>
  <si>
    <t>0.481±0.029</t>
  </si>
  <si>
    <t>0.488±0.006</t>
  </si>
  <si>
    <t>0.475±0.019</t>
  </si>
  <si>
    <t>0.487±0.005</t>
  </si>
  <si>
    <t>0.463±0.021</t>
  </si>
  <si>
    <t>AUC</t>
  </si>
  <si>
    <t>Features/Metrics</t>
  </si>
  <si>
    <t xml:space="preserve">Accuracy </t>
  </si>
  <si>
    <t>Precision</t>
  </si>
  <si>
    <t>Recall</t>
  </si>
  <si>
    <t>Specificity</t>
  </si>
  <si>
    <t>Gene</t>
  </si>
  <si>
    <t>Gene_TG</t>
  </si>
  <si>
    <t>Gene_Cer</t>
  </si>
  <si>
    <t>Gene_DG</t>
  </si>
  <si>
    <t>Gene_TG_Cer</t>
  </si>
  <si>
    <t>Gene_TG_DG</t>
  </si>
  <si>
    <t>Gene_DG_Cer</t>
  </si>
  <si>
    <t>Gene_TG_Cer_DG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</si>
</sst>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24B10-5118-4E53-8796-281297797302}" name="表1" displayName="表1" ref="A1:F16" totalsRowShown="0" headerRowDxfId="7" dataDxfId="6">
  <autoFilter ref="A1:F16" xr:uid="{ADB24B10-5118-4E53-8796-281297797302}"/>
  <tableColumns count="6">
    <tableColumn id="1" xr3:uid="{4B97517D-74BE-45B7-ADCD-43FED5E9E2DB}" name="features/metric" dataDxfId="5"/>
    <tableColumn id="2" xr3:uid="{B8A01DAC-1316-4919-8570-5C4253D27A4F}" name="accuracy" dataDxfId="4">
      <calculatedColumnFormula>ROUND(mean!B2,3)&amp;"±"&amp;ROUND(std!B2*0.5,3)</calculatedColumnFormula>
    </tableColumn>
    <tableColumn id="3" xr3:uid="{525713FB-1FAF-46FB-9E65-82F75A631E25}" name="auc" dataDxfId="3">
      <calculatedColumnFormula>ROUND(mean!C2,3)&amp;"±"&amp;ROUND(std!C2*0.5,3)</calculatedColumnFormula>
    </tableColumn>
    <tableColumn id="4" xr3:uid="{3DE900C6-A732-406D-B935-4B15A717620F}" name="precision" dataDxfId="2">
      <calculatedColumnFormula>ROUND(mean!D2,3)&amp;"±"&amp;ROUND(std!D2*0.5,3)</calculatedColumnFormula>
    </tableColumn>
    <tableColumn id="5" xr3:uid="{996916B8-0741-46D6-AE8A-B2746335415F}" name="recall" dataDxfId="1">
      <calculatedColumnFormula>ROUND(mean!E2,3)&amp;"±"&amp;ROUND(std!E2*0.5,3)</calculatedColumnFormula>
    </tableColumn>
    <tableColumn id="6" xr3:uid="{27AA1D4D-AE4E-4836-BEAF-6EE4ACE3FEAC}" name="specificity" dataDxfId="0">
      <calculatedColumnFormula>ROUND(mean!F2,3)&amp;"±"&amp;ROUND(std!F2*0.5,3)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I10" sqref="I10"/>
    </sheetView>
  </sheetViews>
  <sheetFormatPr defaultRowHeight="14.5" x14ac:dyDescent="0.35"/>
  <cols>
    <col min="1" max="1" width="13.08984375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0.58038095238095244</v>
      </c>
      <c r="C2">
        <v>0.55631194599051736</v>
      </c>
      <c r="D2">
        <v>0.54341125541125535</v>
      </c>
      <c r="E2">
        <v>0.92012698412698435</v>
      </c>
      <c r="F2">
        <v>0.2442554112554112</v>
      </c>
      <c r="G2">
        <v>0.83809523809523812</v>
      </c>
    </row>
    <row r="3" spans="1:7" x14ac:dyDescent="0.35">
      <c r="A3" s="1" t="s">
        <v>7</v>
      </c>
      <c r="B3">
        <v>0.4514285714285714</v>
      </c>
      <c r="C3">
        <v>0.41467325637325642</v>
      </c>
      <c r="D3">
        <v>0.4893419913419913</v>
      </c>
      <c r="E3">
        <v>0.47758696858696859</v>
      </c>
      <c r="F3">
        <v>0.43309668109668109</v>
      </c>
      <c r="G3">
        <v>0.39477344877344878</v>
      </c>
    </row>
    <row r="4" spans="1:7" x14ac:dyDescent="0.35">
      <c r="A4" s="1" t="s">
        <v>8</v>
      </c>
      <c r="B4">
        <v>0.48685714285714282</v>
      </c>
      <c r="C4">
        <v>0.51287082811368534</v>
      </c>
      <c r="D4">
        <v>0.53323809523809518</v>
      </c>
      <c r="E4">
        <v>0.50802775002775002</v>
      </c>
      <c r="F4">
        <v>0.48922799422799418</v>
      </c>
      <c r="G4">
        <v>0.47438095238095229</v>
      </c>
    </row>
    <row r="5" spans="1:7" x14ac:dyDescent="0.35">
      <c r="A5" s="1" t="s">
        <v>9</v>
      </c>
      <c r="B5">
        <v>0.52895238095238084</v>
      </c>
      <c r="C5">
        <v>0.56859349275063553</v>
      </c>
      <c r="D5">
        <v>0.56820634920634916</v>
      </c>
      <c r="E5">
        <v>0.55773049173049172</v>
      </c>
      <c r="F5">
        <v>0.54189610389610388</v>
      </c>
      <c r="G5">
        <v>0.51351226551226559</v>
      </c>
    </row>
    <row r="6" spans="1:7" x14ac:dyDescent="0.35">
      <c r="A6" s="1" t="s">
        <v>10</v>
      </c>
      <c r="B6">
        <v>0.45123809523809533</v>
      </c>
      <c r="C6">
        <v>0.41410364186078469</v>
      </c>
      <c r="D6">
        <v>0.4907705627705628</v>
      </c>
      <c r="E6">
        <v>0.4723344433344433</v>
      </c>
      <c r="F6">
        <v>0.43976334776334769</v>
      </c>
      <c r="G6">
        <v>0.39412265512265521</v>
      </c>
    </row>
    <row r="7" spans="1:7" x14ac:dyDescent="0.35">
      <c r="A7" s="1" t="s">
        <v>11</v>
      </c>
      <c r="B7">
        <v>0.48152380952380952</v>
      </c>
      <c r="C7">
        <v>0.50623517910660776</v>
      </c>
      <c r="D7">
        <v>0.52928571428571425</v>
      </c>
      <c r="E7">
        <v>0.49691663891663901</v>
      </c>
      <c r="F7">
        <v>0.49176767676767669</v>
      </c>
      <c r="G7">
        <v>0.46941269841269828</v>
      </c>
    </row>
    <row r="8" spans="1:7" x14ac:dyDescent="0.35">
      <c r="A8" s="1" t="s">
        <v>12</v>
      </c>
      <c r="B8">
        <v>0.621428571428571</v>
      </c>
      <c r="C8">
        <v>0.60804785611214196</v>
      </c>
      <c r="D8">
        <v>0.60179365079365099</v>
      </c>
      <c r="E8">
        <v>0.58303352203352199</v>
      </c>
      <c r="F8">
        <v>0.56054689754689746</v>
      </c>
      <c r="G8">
        <v>0.5394329004329006</v>
      </c>
    </row>
    <row r="9" spans="1:7" x14ac:dyDescent="0.35">
      <c r="A9" s="1" t="s">
        <v>13</v>
      </c>
      <c r="B9">
        <v>0.40895238095238101</v>
      </c>
      <c r="C9">
        <v>0.40061414934272083</v>
      </c>
      <c r="D9">
        <v>0.4544212454212454</v>
      </c>
      <c r="E9">
        <v>0.50797524697524699</v>
      </c>
      <c r="F9">
        <v>0.34908080808080799</v>
      </c>
      <c r="G9">
        <v>0.38695670995671</v>
      </c>
    </row>
    <row r="10" spans="1:7" x14ac:dyDescent="0.35">
      <c r="A10" s="1" t="s">
        <v>14</v>
      </c>
      <c r="B10">
        <v>0.41142857142857142</v>
      </c>
      <c r="C10">
        <v>0.44560678210678212</v>
      </c>
      <c r="D10">
        <v>0.46603751803751808</v>
      </c>
      <c r="E10">
        <v>0.42996891996892</v>
      </c>
      <c r="F10">
        <v>0.41582828282828288</v>
      </c>
      <c r="G10">
        <v>0.3648340548340549</v>
      </c>
    </row>
    <row r="11" spans="1:7" x14ac:dyDescent="0.35">
      <c r="A11" s="1" t="s">
        <v>15</v>
      </c>
      <c r="B11">
        <v>0.5255238095238095</v>
      </c>
      <c r="C11">
        <v>0.54827681101966808</v>
      </c>
      <c r="D11">
        <v>0.57794083694083698</v>
      </c>
      <c r="E11">
        <v>0.54464235764235769</v>
      </c>
      <c r="F11">
        <v>0.51062337662337653</v>
      </c>
      <c r="G11">
        <v>0.49204761904761901</v>
      </c>
    </row>
    <row r="12" spans="1:7" x14ac:dyDescent="0.35">
      <c r="A12" s="1" t="s">
        <v>16</v>
      </c>
      <c r="B12">
        <v>0.40895238095238101</v>
      </c>
      <c r="C12">
        <v>0.39889192712049859</v>
      </c>
      <c r="D12">
        <v>0.4544212454212454</v>
      </c>
      <c r="E12">
        <v>0.50797524697524699</v>
      </c>
      <c r="F12">
        <v>0.34908080808080799</v>
      </c>
      <c r="G12">
        <v>0.38695670995671</v>
      </c>
    </row>
    <row r="13" spans="1:7" x14ac:dyDescent="0.35">
      <c r="A13" s="1" t="s">
        <v>17</v>
      </c>
      <c r="B13">
        <v>0.41961904761904761</v>
      </c>
      <c r="C13">
        <v>0.44336848072562363</v>
      </c>
      <c r="D13">
        <v>0.46946608946608948</v>
      </c>
      <c r="E13">
        <v>0.42996891996892</v>
      </c>
      <c r="F13">
        <v>0.42925685425685423</v>
      </c>
      <c r="G13">
        <v>0.37277056277056281</v>
      </c>
    </row>
    <row r="14" spans="1:7" x14ac:dyDescent="0.35">
      <c r="A14" s="1" t="s">
        <v>18</v>
      </c>
      <c r="B14">
        <v>0.5310476190476191</v>
      </c>
      <c r="C14">
        <v>0.55409750091178656</v>
      </c>
      <c r="D14">
        <v>0.57971861471861474</v>
      </c>
      <c r="E14">
        <v>0.5597072927072928</v>
      </c>
      <c r="F14">
        <v>0.50395670995670994</v>
      </c>
      <c r="G14">
        <v>0.4986031746031746</v>
      </c>
    </row>
    <row r="15" spans="1:7" x14ac:dyDescent="0.35">
      <c r="A15" s="1" t="s">
        <v>19</v>
      </c>
      <c r="B15">
        <v>0.42438095238095241</v>
      </c>
      <c r="C15">
        <v>0.42907667253381537</v>
      </c>
      <c r="D15">
        <v>0.47887878787878779</v>
      </c>
      <c r="E15">
        <v>0.45449661449661449</v>
      </c>
      <c r="F15">
        <v>0.44035064935064938</v>
      </c>
      <c r="G15">
        <v>0.38614285714285712</v>
      </c>
    </row>
    <row r="16" spans="1:7" x14ac:dyDescent="0.35">
      <c r="A16" s="1" t="s">
        <v>20</v>
      </c>
      <c r="B16">
        <v>0.42438095238095241</v>
      </c>
      <c r="C16">
        <v>0.42844742083313508</v>
      </c>
      <c r="D16">
        <v>0.47887878787878779</v>
      </c>
      <c r="E16">
        <v>0.45449661449661449</v>
      </c>
      <c r="F16">
        <v>0.44035064935064938</v>
      </c>
      <c r="G16">
        <v>0.38614285714285712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B2" sqref="B2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7.5233875710492074E-2</v>
      </c>
      <c r="C2">
        <v>1.0827410129284541E-2</v>
      </c>
      <c r="D2">
        <v>8.3447519213689231E-2</v>
      </c>
      <c r="E2">
        <v>8.459903500995615E-2</v>
      </c>
      <c r="F2">
        <v>8.1129953074884256E-2</v>
      </c>
      <c r="G2">
        <v>0.10722219284950189</v>
      </c>
    </row>
    <row r="3" spans="1:7" x14ac:dyDescent="0.35">
      <c r="A3" s="1" t="s">
        <v>7</v>
      </c>
      <c r="B3">
        <v>5.2691718832849767E-2</v>
      </c>
      <c r="C3">
        <v>2.827888280280479E-2</v>
      </c>
      <c r="D3">
        <v>5.6288164071953709E-2</v>
      </c>
      <c r="E3">
        <v>6.4397299420749551E-2</v>
      </c>
      <c r="F3">
        <v>5.9588471459167701E-2</v>
      </c>
      <c r="G3">
        <v>5.6382360131830837E-2</v>
      </c>
    </row>
    <row r="4" spans="1:7" x14ac:dyDescent="0.35">
      <c r="A4" s="1" t="s">
        <v>8</v>
      </c>
      <c r="B4">
        <v>7.7443271608709341E-2</v>
      </c>
      <c r="C4">
        <v>6.9320287230012212E-2</v>
      </c>
      <c r="D4">
        <v>5.0069283064329603E-2</v>
      </c>
      <c r="E4">
        <v>9.8158287407606626E-2</v>
      </c>
      <c r="F4">
        <v>9.0100100565260841E-2</v>
      </c>
      <c r="G4">
        <v>6.1171851899812647E-2</v>
      </c>
    </row>
    <row r="5" spans="1:7" x14ac:dyDescent="0.35">
      <c r="A5" s="1" t="s">
        <v>9</v>
      </c>
      <c r="B5">
        <v>1.9984120680307079E-2</v>
      </c>
      <c r="C5">
        <v>7.2775166971004612E-2</v>
      </c>
      <c r="D5">
        <v>1.023603399946957E-2</v>
      </c>
      <c r="E5">
        <v>1.9087064542424249E-2</v>
      </c>
      <c r="F5">
        <v>5.7539382267940489E-2</v>
      </c>
      <c r="G5">
        <v>1.671408193253663E-2</v>
      </c>
    </row>
    <row r="6" spans="1:7" x14ac:dyDescent="0.35">
      <c r="A6" s="1" t="s">
        <v>10</v>
      </c>
      <c r="B6">
        <v>3.9911466648922221E-2</v>
      </c>
      <c r="C6">
        <v>3.0455222130032419E-2</v>
      </c>
      <c r="D6">
        <v>4.7149009870440531E-2</v>
      </c>
      <c r="E6">
        <v>5.3590481041125328E-2</v>
      </c>
      <c r="F6">
        <v>5.260886900273766E-2</v>
      </c>
      <c r="G6">
        <v>4.3772138707372343E-2</v>
      </c>
    </row>
    <row r="7" spans="1:7" x14ac:dyDescent="0.35">
      <c r="A7" s="1" t="s">
        <v>11</v>
      </c>
      <c r="B7">
        <v>8.1093993782920773E-2</v>
      </c>
      <c r="C7">
        <v>6.9899634656514067E-2</v>
      </c>
      <c r="D7">
        <v>5.5452682532047118E-2</v>
      </c>
      <c r="E7">
        <v>9.0967851611956543E-2</v>
      </c>
      <c r="F7">
        <v>0.1004545419566427</v>
      </c>
      <c r="G7">
        <v>6.2966940539516625E-2</v>
      </c>
    </row>
    <row r="8" spans="1:7" x14ac:dyDescent="0.35">
      <c r="A8" s="1" t="s">
        <v>12</v>
      </c>
      <c r="B8">
        <v>4.0980057093238348E-2</v>
      </c>
      <c r="C8">
        <v>5.677183486368817E-2</v>
      </c>
      <c r="D8">
        <v>2.0403695341106441E-2</v>
      </c>
      <c r="E8">
        <v>5.2457920390079543E-2</v>
      </c>
      <c r="F8">
        <v>4.2874122515195033E-2</v>
      </c>
      <c r="G8">
        <v>3.6393648071945693E-2</v>
      </c>
    </row>
    <row r="9" spans="1:7" x14ac:dyDescent="0.35">
      <c r="A9" s="1" t="s">
        <v>13</v>
      </c>
      <c r="B9">
        <v>4.0071364909549642E-2</v>
      </c>
      <c r="C9">
        <v>5.4861258572877589E-2</v>
      </c>
      <c r="D9">
        <v>2.0015154464649271E-2</v>
      </c>
      <c r="E9">
        <v>3.2938276435775952E-2</v>
      </c>
      <c r="F9">
        <v>5.6920483408208267E-2</v>
      </c>
      <c r="G9">
        <v>5.7077737484340793E-2</v>
      </c>
    </row>
    <row r="10" spans="1:7" x14ac:dyDescent="0.35">
      <c r="A10" s="1" t="s">
        <v>14</v>
      </c>
      <c r="B10">
        <v>3.0319537866155471E-2</v>
      </c>
      <c r="C10">
        <v>1.1446435989221069E-2</v>
      </c>
      <c r="D10">
        <v>6.2183605767421178E-2</v>
      </c>
      <c r="E10">
        <v>6.2174317338865928E-2</v>
      </c>
      <c r="F10">
        <v>7.8817375906434173E-2</v>
      </c>
      <c r="G10">
        <v>3.2069836226179288E-2</v>
      </c>
    </row>
    <row r="11" spans="1:7" x14ac:dyDescent="0.35">
      <c r="A11" s="1" t="s">
        <v>15</v>
      </c>
      <c r="B11">
        <v>2.2022458130997041E-2</v>
      </c>
      <c r="C11">
        <v>4.6067827628558343E-2</v>
      </c>
      <c r="D11">
        <v>1.3780044824914361E-2</v>
      </c>
      <c r="E11">
        <v>1.293808649045298E-2</v>
      </c>
      <c r="F11">
        <v>3.8454070475143563E-2</v>
      </c>
      <c r="G11">
        <v>1.8177756709843718E-2</v>
      </c>
    </row>
    <row r="12" spans="1:7" x14ac:dyDescent="0.35">
      <c r="A12" s="1" t="s">
        <v>16</v>
      </c>
      <c r="B12">
        <v>4.0071364909549642E-2</v>
      </c>
      <c r="C12">
        <v>5.6992994763776852E-2</v>
      </c>
      <c r="D12">
        <v>2.0015154464649271E-2</v>
      </c>
      <c r="E12">
        <v>3.2938276435775952E-2</v>
      </c>
      <c r="F12">
        <v>5.6920483408208267E-2</v>
      </c>
      <c r="G12">
        <v>5.7077737484340793E-2</v>
      </c>
    </row>
    <row r="13" spans="1:7" x14ac:dyDescent="0.35">
      <c r="A13" s="1" t="s">
        <v>17</v>
      </c>
      <c r="B13">
        <v>3.5657733002849461E-2</v>
      </c>
      <c r="C13">
        <v>1.300639014336093E-2</v>
      </c>
      <c r="D13">
        <v>4.9420744419626718E-2</v>
      </c>
      <c r="E13">
        <v>6.2174317338865928E-2</v>
      </c>
      <c r="F13">
        <v>5.0227161960233128E-2</v>
      </c>
      <c r="G13">
        <v>3.2310871038745297E-2</v>
      </c>
    </row>
    <row r="14" spans="1:7" x14ac:dyDescent="0.35">
      <c r="A14" s="1" t="s">
        <v>18</v>
      </c>
      <c r="B14">
        <v>3.056979672250577E-2</v>
      </c>
      <c r="C14">
        <v>5.0849655499189683E-2</v>
      </c>
      <c r="D14">
        <v>2.1095086406310051E-2</v>
      </c>
      <c r="E14">
        <v>1.6329340281070338E-2</v>
      </c>
      <c r="F14">
        <v>4.0918092962430479E-2</v>
      </c>
      <c r="G14">
        <v>2.661989236811637E-2</v>
      </c>
    </row>
    <row r="15" spans="1:7" x14ac:dyDescent="0.35">
      <c r="A15" s="1" t="s">
        <v>19</v>
      </c>
      <c r="B15">
        <v>3.8395247249338911E-2</v>
      </c>
      <c r="C15">
        <v>4.6383849309744388E-2</v>
      </c>
      <c r="D15">
        <v>1.2169633750957899E-2</v>
      </c>
      <c r="E15">
        <v>2.1523847926712209E-2</v>
      </c>
      <c r="F15">
        <v>4.2640922946519291E-2</v>
      </c>
      <c r="G15">
        <v>3.9825085247441563E-2</v>
      </c>
    </row>
    <row r="16" spans="1:7" x14ac:dyDescent="0.35">
      <c r="A16" s="1" t="s">
        <v>20</v>
      </c>
      <c r="B16">
        <v>3.8395247249338911E-2</v>
      </c>
      <c r="C16">
        <v>4.7691573445402827E-2</v>
      </c>
      <c r="D16">
        <v>1.2169633750957899E-2</v>
      </c>
      <c r="E16">
        <v>2.1523847926712209E-2</v>
      </c>
      <c r="F16">
        <v>4.2640922946519291E-2</v>
      </c>
      <c r="G16">
        <v>3.9825085247441563E-2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5936-9294-4516-AF7F-3CDBE4FFC1E2}">
  <dimension ref="A1:F38"/>
  <sheetViews>
    <sheetView tabSelected="1" topLeftCell="A16" zoomScaleNormal="100" workbookViewId="0">
      <selection activeCell="A23" sqref="A23:F38"/>
    </sheetView>
  </sheetViews>
  <sheetFormatPr defaultRowHeight="14.5" x14ac:dyDescent="0.35"/>
  <cols>
    <col min="1" max="1" width="22.453125" customWidth="1"/>
    <col min="2" max="2" width="19.08984375" customWidth="1"/>
    <col min="3" max="3" width="18.81640625" customWidth="1"/>
    <col min="4" max="4" width="18.26953125" customWidth="1"/>
    <col min="5" max="5" width="19" customWidth="1"/>
    <col min="6" max="6" width="22.08984375" customWidth="1"/>
  </cols>
  <sheetData>
    <row r="1" spans="1:6" x14ac:dyDescent="0.35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6</v>
      </c>
      <c r="B2" s="2" t="str">
        <f>ROUND(mean!B2,3)&amp;"±"&amp;ROUND(std!B2*0.5,3)</f>
        <v>0.58±0.038</v>
      </c>
      <c r="C2" s="2" t="str">
        <f>ROUND(mean!C2,3)&amp;"±"&amp;ROUND(std!C2*0.5,3)</f>
        <v>0.556±0.005</v>
      </c>
      <c r="D2" s="2" t="str">
        <f>ROUND(mean!D2,3)&amp;"±"&amp;ROUND(std!D2*0.5,3)</f>
        <v>0.543±0.042</v>
      </c>
      <c r="E2" s="2" t="str">
        <f>ROUND(mean!E2,3)&amp;"±"&amp;ROUND(std!E2*0.5,3)</f>
        <v>0.92±0.042</v>
      </c>
      <c r="F2" s="2" t="str">
        <f>ROUND(mean!F2,3)&amp;"±"&amp;ROUND(std!F2*0.5,3)</f>
        <v>0.244±0.041</v>
      </c>
    </row>
    <row r="3" spans="1:6" x14ac:dyDescent="0.35">
      <c r="A3" s="1" t="s">
        <v>7</v>
      </c>
      <c r="B3" s="2" t="str">
        <f>ROUND(mean!B3,3)&amp;"±"&amp;ROUND(std!B3*0.5,3)</f>
        <v>0.451±0.026</v>
      </c>
      <c r="C3" s="2" t="str">
        <f>ROUND(mean!C3,3)&amp;"±"&amp;ROUND(std!C3*0.5,3)</f>
        <v>0.415±0.014</v>
      </c>
      <c r="D3" s="2" t="str">
        <f>ROUND(mean!D3,3)&amp;"±"&amp;ROUND(std!D3*0.5,3)</f>
        <v>0.489±0.028</v>
      </c>
      <c r="E3" s="2" t="str">
        <f>ROUND(mean!E3,3)&amp;"±"&amp;ROUND(std!E3*0.5,3)</f>
        <v>0.478±0.032</v>
      </c>
      <c r="F3" s="2" t="str">
        <f>ROUND(mean!F3,3)&amp;"±"&amp;ROUND(std!F3*0.5,3)</f>
        <v>0.433±0.03</v>
      </c>
    </row>
    <row r="4" spans="1:6" x14ac:dyDescent="0.35">
      <c r="A4" s="1" t="s">
        <v>8</v>
      </c>
      <c r="B4" s="2" t="str">
        <f>ROUND(mean!B4,3)&amp;"±"&amp;ROUND(std!B4*0.5,3)</f>
        <v>0.487±0.039</v>
      </c>
      <c r="C4" s="2" t="str">
        <f>ROUND(mean!C4,3)&amp;"±"&amp;ROUND(std!C4*0.5,3)</f>
        <v>0.513±0.035</v>
      </c>
      <c r="D4" s="2" t="str">
        <f>ROUND(mean!D4,3)&amp;"±"&amp;ROUND(std!D4*0.5,3)</f>
        <v>0.533±0.025</v>
      </c>
      <c r="E4" s="2" t="str">
        <f>ROUND(mean!E4,3)&amp;"±"&amp;ROUND(std!E4*0.5,3)</f>
        <v>0.508±0.049</v>
      </c>
      <c r="F4" s="2" t="str">
        <f>ROUND(mean!F4,3)&amp;"±"&amp;ROUND(std!F4*0.5,3)</f>
        <v>0.489±0.045</v>
      </c>
    </row>
    <row r="5" spans="1:6" x14ac:dyDescent="0.35">
      <c r="A5" s="1" t="s">
        <v>9</v>
      </c>
      <c r="B5" s="2" t="str">
        <f>ROUND(mean!B5,3)&amp;"±"&amp;ROUND(std!B5*0.5,3)</f>
        <v>0.529±0.01</v>
      </c>
      <c r="C5" s="2" t="str">
        <f>ROUND(mean!C5,3)&amp;"±"&amp;ROUND(std!C5*0.5,3)</f>
        <v>0.569±0.036</v>
      </c>
      <c r="D5" s="2" t="str">
        <f>ROUND(mean!D5,3)&amp;"±"&amp;ROUND(std!D5*0.5,3)</f>
        <v>0.568±0.005</v>
      </c>
      <c r="E5" s="2" t="str">
        <f>ROUND(mean!E5,3)&amp;"±"&amp;ROUND(std!E5*0.5,3)</f>
        <v>0.558±0.01</v>
      </c>
      <c r="F5" s="2" t="str">
        <f>ROUND(mean!F5,3)&amp;"±"&amp;ROUND(std!F5*0.5,3)</f>
        <v>0.542±0.029</v>
      </c>
    </row>
    <row r="6" spans="1:6" x14ac:dyDescent="0.35">
      <c r="A6" s="1" t="s">
        <v>10</v>
      </c>
      <c r="B6" s="2" t="str">
        <f>ROUND(mean!B6,3)&amp;"±"&amp;ROUND(std!B6*0.5,3)</f>
        <v>0.451±0.02</v>
      </c>
      <c r="C6" s="2" t="str">
        <f>ROUND(mean!C6,3)&amp;"±"&amp;ROUND(std!C6*0.5,3)</f>
        <v>0.414±0.015</v>
      </c>
      <c r="D6" s="2" t="str">
        <f>ROUND(mean!D6,3)&amp;"±"&amp;ROUND(std!D6*0.5,3)</f>
        <v>0.491±0.024</v>
      </c>
      <c r="E6" s="2" t="str">
        <f>ROUND(mean!E6,3)&amp;"±"&amp;ROUND(std!E6*0.5,3)</f>
        <v>0.472±0.027</v>
      </c>
      <c r="F6" s="2" t="str">
        <f>ROUND(mean!F6,3)&amp;"±"&amp;ROUND(std!F6*0.5,3)</f>
        <v>0.44±0.026</v>
      </c>
    </row>
    <row r="7" spans="1:6" x14ac:dyDescent="0.35">
      <c r="A7" s="1" t="s">
        <v>11</v>
      </c>
      <c r="B7" s="2" t="str">
        <f>ROUND(mean!B7,3)&amp;"±"&amp;ROUND(std!B7*0.5,3)</f>
        <v>0.482±0.041</v>
      </c>
      <c r="C7" s="2" t="str">
        <f>ROUND(mean!C7,3)&amp;"±"&amp;ROUND(std!C7*0.5,3)</f>
        <v>0.506±0.035</v>
      </c>
      <c r="D7" s="2" t="str">
        <f>ROUND(mean!D7,3)&amp;"±"&amp;ROUND(std!D7*0.5,3)</f>
        <v>0.529±0.028</v>
      </c>
      <c r="E7" s="2" t="str">
        <f>ROUND(mean!E7,3)&amp;"±"&amp;ROUND(std!E7*0.5,3)</f>
        <v>0.497±0.045</v>
      </c>
      <c r="F7" s="2" t="str">
        <f>ROUND(mean!F7,3)&amp;"±"&amp;ROUND(std!F7*0.5,3)</f>
        <v>0.492±0.05</v>
      </c>
    </row>
    <row r="8" spans="1:6" x14ac:dyDescent="0.35">
      <c r="A8" s="1" t="s">
        <v>12</v>
      </c>
      <c r="B8" s="3" t="str">
        <f>ROUND(mean!B8,3)&amp;"±"&amp;ROUND(std!B8*0.5,3)</f>
        <v>0.621±0.02</v>
      </c>
      <c r="C8" s="3" t="str">
        <f>ROUND(mean!C8,3)&amp;"±"&amp;ROUND(std!C8*0.5,3)</f>
        <v>0.608±0.028</v>
      </c>
      <c r="D8" s="3" t="str">
        <f>ROUND(mean!D8,3)&amp;"±"&amp;ROUND(std!D8*0.5,3)</f>
        <v>0.602±0.01</v>
      </c>
      <c r="E8" s="2" t="str">
        <f>ROUND(mean!E8,3)&amp;"±"&amp;ROUND(std!E8*0.5,3)</f>
        <v>0.583±0.026</v>
      </c>
      <c r="F8" s="2" t="str">
        <f>ROUND(mean!F8,3)&amp;"±"&amp;ROUND(std!F8*0.5,3)</f>
        <v>0.561±0.021</v>
      </c>
    </row>
    <row r="9" spans="1:6" x14ac:dyDescent="0.35">
      <c r="A9" s="1" t="s">
        <v>13</v>
      </c>
      <c r="B9" s="2" t="str">
        <f>ROUND(mean!B9,3)&amp;"±"&amp;ROUND(std!B9*0.5,3)</f>
        <v>0.409±0.02</v>
      </c>
      <c r="C9" s="2" t="str">
        <f>ROUND(mean!C9,3)&amp;"±"&amp;ROUND(std!C9*0.5,3)</f>
        <v>0.401±0.027</v>
      </c>
      <c r="D9" s="2" t="str">
        <f>ROUND(mean!D9,3)&amp;"±"&amp;ROUND(std!D9*0.5,3)</f>
        <v>0.454±0.01</v>
      </c>
      <c r="E9" s="2" t="str">
        <f>ROUND(mean!E9,3)&amp;"±"&amp;ROUND(std!E9*0.5,3)</f>
        <v>0.508±0.016</v>
      </c>
      <c r="F9" s="2" t="str">
        <f>ROUND(mean!F9,3)&amp;"±"&amp;ROUND(std!F9*0.5,3)</f>
        <v>0.349±0.028</v>
      </c>
    </row>
    <row r="10" spans="1:6" x14ac:dyDescent="0.35">
      <c r="A10" s="1" t="s">
        <v>14</v>
      </c>
      <c r="B10" s="2" t="str">
        <f>ROUND(mean!B10,3)&amp;"±"&amp;ROUND(std!B10*0.5,3)</f>
        <v>0.411±0.015</v>
      </c>
      <c r="C10" s="2" t="str">
        <f>ROUND(mean!C10,3)&amp;"±"&amp;ROUND(std!C10*0.5,3)</f>
        <v>0.446±0.006</v>
      </c>
      <c r="D10" s="2" t="str">
        <f>ROUND(mean!D10,3)&amp;"±"&amp;ROUND(std!D10*0.5,3)</f>
        <v>0.466±0.031</v>
      </c>
      <c r="E10" s="2" t="str">
        <f>ROUND(mean!E10,3)&amp;"±"&amp;ROUND(std!E10*0.5,3)</f>
        <v>0.43±0.031</v>
      </c>
      <c r="F10" s="2" t="str">
        <f>ROUND(mean!F10,3)&amp;"±"&amp;ROUND(std!F10*0.5,3)</f>
        <v>0.416±0.039</v>
      </c>
    </row>
    <row r="11" spans="1:6" x14ac:dyDescent="0.35">
      <c r="A11" s="1" t="s">
        <v>15</v>
      </c>
      <c r="B11" s="2" t="str">
        <f>ROUND(mean!B11,3)&amp;"±"&amp;ROUND(std!B11*0.5,3)</f>
        <v>0.526±0.011</v>
      </c>
      <c r="C11" s="2" t="str">
        <f>ROUND(mean!C11,3)&amp;"±"&amp;ROUND(std!C11*0.5,3)</f>
        <v>0.548±0.023</v>
      </c>
      <c r="D11" s="2" t="str">
        <f>ROUND(mean!D11,3)&amp;"±"&amp;ROUND(std!D11*0.5,3)</f>
        <v>0.578±0.007</v>
      </c>
      <c r="E11" s="2" t="str">
        <f>ROUND(mean!E11,3)&amp;"±"&amp;ROUND(std!E11*0.5,3)</f>
        <v>0.545±0.006</v>
      </c>
      <c r="F11" s="2" t="str">
        <f>ROUND(mean!F11,3)&amp;"±"&amp;ROUND(std!F11*0.5,3)</f>
        <v>0.511±0.019</v>
      </c>
    </row>
    <row r="12" spans="1:6" x14ac:dyDescent="0.35">
      <c r="A12" s="1" t="s">
        <v>16</v>
      </c>
      <c r="B12" s="2" t="str">
        <f>ROUND(mean!B12,3)&amp;"±"&amp;ROUND(std!B12*0.5,3)</f>
        <v>0.409±0.02</v>
      </c>
      <c r="C12" s="2" t="str">
        <f>ROUND(mean!C12,3)&amp;"±"&amp;ROUND(std!C12*0.5,3)</f>
        <v>0.399±0.028</v>
      </c>
      <c r="D12" s="2" t="str">
        <f>ROUND(mean!D12,3)&amp;"±"&amp;ROUND(std!D12*0.5,3)</f>
        <v>0.454±0.01</v>
      </c>
      <c r="E12" s="2" t="str">
        <f>ROUND(mean!E12,3)&amp;"±"&amp;ROUND(std!E12*0.5,3)</f>
        <v>0.508±0.016</v>
      </c>
      <c r="F12" s="2" t="str">
        <f>ROUND(mean!F12,3)&amp;"±"&amp;ROUND(std!F12*0.5,3)</f>
        <v>0.349±0.028</v>
      </c>
    </row>
    <row r="13" spans="1:6" x14ac:dyDescent="0.35">
      <c r="A13" s="1" t="s">
        <v>17</v>
      </c>
      <c r="B13" s="2" t="str">
        <f>ROUND(mean!B13,3)&amp;"±"&amp;ROUND(std!B13*0.5,3)</f>
        <v>0.42±0.018</v>
      </c>
      <c r="C13" s="2" t="str">
        <f>ROUND(mean!C13,3)&amp;"±"&amp;ROUND(std!C13*0.5,3)</f>
        <v>0.443±0.007</v>
      </c>
      <c r="D13" s="2" t="str">
        <f>ROUND(mean!D13,3)&amp;"±"&amp;ROUND(std!D13*0.5,3)</f>
        <v>0.469±0.025</v>
      </c>
      <c r="E13" s="2" t="str">
        <f>ROUND(mean!E13,3)&amp;"±"&amp;ROUND(std!E13*0.5,3)</f>
        <v>0.43±0.031</v>
      </c>
      <c r="F13" s="2" t="str">
        <f>ROUND(mean!F13,3)&amp;"±"&amp;ROUND(std!F13*0.5,3)</f>
        <v>0.429±0.025</v>
      </c>
    </row>
    <row r="14" spans="1:6" x14ac:dyDescent="0.35">
      <c r="A14" s="1" t="s">
        <v>18</v>
      </c>
      <c r="B14" s="2" t="str">
        <f>ROUND(mean!B14,3)&amp;"±"&amp;ROUND(std!B14*0.5,3)</f>
        <v>0.531±0.015</v>
      </c>
      <c r="C14" s="2" t="str">
        <f>ROUND(mean!C14,3)&amp;"±"&amp;ROUND(std!C14*0.5,3)</f>
        <v>0.554±0.025</v>
      </c>
      <c r="D14" s="2" t="str">
        <f>ROUND(mean!D14,3)&amp;"±"&amp;ROUND(std!D14*0.5,3)</f>
        <v>0.58±0.011</v>
      </c>
      <c r="E14" s="2" t="str">
        <f>ROUND(mean!E14,3)&amp;"±"&amp;ROUND(std!E14*0.5,3)</f>
        <v>0.56±0.008</v>
      </c>
      <c r="F14" s="2" t="str">
        <f>ROUND(mean!F14,3)&amp;"±"&amp;ROUND(std!F14*0.5,3)</f>
        <v>0.504±0.02</v>
      </c>
    </row>
    <row r="15" spans="1:6" x14ac:dyDescent="0.35">
      <c r="A15" s="1" t="s">
        <v>19</v>
      </c>
      <c r="B15" s="2" t="str">
        <f>ROUND(mean!B15,3)&amp;"±"&amp;ROUND(std!B15*0.5,3)</f>
        <v>0.424±0.019</v>
      </c>
      <c r="C15" s="2" t="str">
        <f>ROUND(mean!C15,3)&amp;"±"&amp;ROUND(std!C15*0.5,3)</f>
        <v>0.429±0.023</v>
      </c>
      <c r="D15" s="2" t="str">
        <f>ROUND(mean!D15,3)&amp;"±"&amp;ROUND(std!D15*0.5,3)</f>
        <v>0.479±0.006</v>
      </c>
      <c r="E15" s="2" t="str">
        <f>ROUND(mean!E15,3)&amp;"±"&amp;ROUND(std!E15*0.5,3)</f>
        <v>0.454±0.011</v>
      </c>
      <c r="F15" s="2" t="str">
        <f>ROUND(mean!F15,3)&amp;"±"&amp;ROUND(std!F15*0.5,3)</f>
        <v>0.44±0.021</v>
      </c>
    </row>
    <row r="16" spans="1:6" x14ac:dyDescent="0.35">
      <c r="A16" s="1" t="s">
        <v>20</v>
      </c>
      <c r="B16" s="2" t="str">
        <f>ROUND(mean!B16,3)&amp;"±"&amp;ROUND(std!B16*0.5,3)</f>
        <v>0.424±0.019</v>
      </c>
      <c r="C16" s="2" t="str">
        <f>ROUND(mean!C16,3)&amp;"±"&amp;ROUND(std!C16*0.5,3)</f>
        <v>0.428±0.024</v>
      </c>
      <c r="D16" s="2" t="str">
        <f>ROUND(mean!D16,3)&amp;"±"&amp;ROUND(std!D16*0.5,3)</f>
        <v>0.479±0.006</v>
      </c>
      <c r="E16" s="2" t="str">
        <f>ROUND(mean!E16,3)&amp;"±"&amp;ROUND(std!E16*0.5,3)</f>
        <v>0.454±0.011</v>
      </c>
      <c r="F16" s="2" t="str">
        <f>ROUND(mean!F16,3)&amp;"±"&amp;ROUND(std!F16*0.5,3)</f>
        <v>0.44±0.021</v>
      </c>
    </row>
    <row r="23" spans="1:6" ht="21" x14ac:dyDescent="0.45">
      <c r="A23" s="7" t="s">
        <v>93</v>
      </c>
      <c r="B23" s="4" t="s">
        <v>92</v>
      </c>
      <c r="C23" s="4" t="s">
        <v>94</v>
      </c>
      <c r="D23" s="4" t="s">
        <v>95</v>
      </c>
      <c r="E23" s="4" t="s">
        <v>96</v>
      </c>
      <c r="F23" s="4" t="s">
        <v>97</v>
      </c>
    </row>
    <row r="24" spans="1:6" ht="21" x14ac:dyDescent="0.5">
      <c r="A24" s="5" t="s">
        <v>98</v>
      </c>
      <c r="B24" s="8" t="s">
        <v>85</v>
      </c>
      <c r="C24" s="8" t="s">
        <v>84</v>
      </c>
      <c r="D24" s="8" t="s">
        <v>83</v>
      </c>
      <c r="E24" s="8" t="s">
        <v>73</v>
      </c>
      <c r="F24" s="8" t="s">
        <v>22</v>
      </c>
    </row>
    <row r="25" spans="1:6" ht="21" x14ac:dyDescent="0.5">
      <c r="A25" s="6" t="s">
        <v>7</v>
      </c>
      <c r="B25" s="8" t="s">
        <v>24</v>
      </c>
      <c r="C25" s="8" t="s">
        <v>23</v>
      </c>
      <c r="D25" s="8" t="s">
        <v>25</v>
      </c>
      <c r="E25" s="8" t="s">
        <v>26</v>
      </c>
      <c r="F25" s="8" t="s">
        <v>27</v>
      </c>
    </row>
    <row r="26" spans="1:6" ht="21" x14ac:dyDescent="0.5">
      <c r="A26" s="5" t="s">
        <v>8</v>
      </c>
      <c r="B26" s="8" t="s">
        <v>29</v>
      </c>
      <c r="C26" s="8" t="s">
        <v>28</v>
      </c>
      <c r="D26" s="8" t="s">
        <v>30</v>
      </c>
      <c r="E26" s="8" t="s">
        <v>31</v>
      </c>
      <c r="F26" s="8" t="s">
        <v>32</v>
      </c>
    </row>
    <row r="27" spans="1:6" ht="21" x14ac:dyDescent="0.5">
      <c r="A27" s="6" t="s">
        <v>9</v>
      </c>
      <c r="B27" s="8" t="s">
        <v>79</v>
      </c>
      <c r="C27" s="8" t="s">
        <v>80</v>
      </c>
      <c r="D27" s="8" t="s">
        <v>81</v>
      </c>
      <c r="E27" s="8" t="s">
        <v>86</v>
      </c>
      <c r="F27" s="8" t="s">
        <v>82</v>
      </c>
    </row>
    <row r="28" spans="1:6" ht="21" x14ac:dyDescent="0.5">
      <c r="A28" s="5" t="s">
        <v>99</v>
      </c>
      <c r="B28" s="8" t="s">
        <v>34</v>
      </c>
      <c r="C28" s="8" t="s">
        <v>33</v>
      </c>
      <c r="D28" s="8" t="s">
        <v>35</v>
      </c>
      <c r="E28" s="8" t="s">
        <v>36</v>
      </c>
      <c r="F28" s="8" t="s">
        <v>37</v>
      </c>
    </row>
    <row r="29" spans="1:6" ht="21" x14ac:dyDescent="0.5">
      <c r="A29" s="6" t="s">
        <v>100</v>
      </c>
      <c r="B29" s="8" t="s">
        <v>39</v>
      </c>
      <c r="C29" s="8" t="s">
        <v>38</v>
      </c>
      <c r="D29" s="8" t="s">
        <v>40</v>
      </c>
      <c r="E29" s="8" t="s">
        <v>41</v>
      </c>
      <c r="F29" s="8" t="s">
        <v>42</v>
      </c>
    </row>
    <row r="30" spans="1:6" ht="21" x14ac:dyDescent="0.5">
      <c r="A30" s="5" t="s">
        <v>101</v>
      </c>
      <c r="B30" s="9" t="s">
        <v>74</v>
      </c>
      <c r="C30" s="9" t="s">
        <v>75</v>
      </c>
      <c r="D30" s="9" t="s">
        <v>76</v>
      </c>
      <c r="E30" s="9" t="s">
        <v>77</v>
      </c>
      <c r="F30" s="9" t="s">
        <v>78</v>
      </c>
    </row>
    <row r="31" spans="1:6" ht="21" x14ac:dyDescent="0.5">
      <c r="A31" s="6" t="s">
        <v>13</v>
      </c>
      <c r="B31" s="8" t="s">
        <v>44</v>
      </c>
      <c r="C31" s="8" t="s">
        <v>43</v>
      </c>
      <c r="D31" s="8" t="s">
        <v>45</v>
      </c>
      <c r="E31" s="8" t="s">
        <v>46</v>
      </c>
      <c r="F31" s="8" t="s">
        <v>47</v>
      </c>
    </row>
    <row r="32" spans="1:6" ht="21" x14ac:dyDescent="0.5">
      <c r="A32" s="5" t="s">
        <v>14</v>
      </c>
      <c r="B32" s="8" t="s">
        <v>49</v>
      </c>
      <c r="C32" s="8" t="s">
        <v>48</v>
      </c>
      <c r="D32" s="8" t="s">
        <v>50</v>
      </c>
      <c r="E32" s="8" t="s">
        <v>51</v>
      </c>
      <c r="F32" s="8" t="s">
        <v>52</v>
      </c>
    </row>
    <row r="33" spans="1:6" ht="21" x14ac:dyDescent="0.5">
      <c r="A33" s="6" t="s">
        <v>15</v>
      </c>
      <c r="B33" s="8" t="s">
        <v>54</v>
      </c>
      <c r="C33" s="8" t="s">
        <v>53</v>
      </c>
      <c r="D33" s="8" t="s">
        <v>55</v>
      </c>
      <c r="E33" s="8" t="s">
        <v>56</v>
      </c>
      <c r="F33" s="8" t="s">
        <v>57</v>
      </c>
    </row>
    <row r="34" spans="1:6" ht="21" x14ac:dyDescent="0.5">
      <c r="A34" s="5" t="s">
        <v>102</v>
      </c>
      <c r="B34" s="8" t="s">
        <v>58</v>
      </c>
      <c r="C34" s="8" t="s">
        <v>43</v>
      </c>
      <c r="D34" s="8" t="s">
        <v>45</v>
      </c>
      <c r="E34" s="8" t="s">
        <v>46</v>
      </c>
      <c r="F34" s="8" t="s">
        <v>47</v>
      </c>
    </row>
    <row r="35" spans="1:6" ht="21" x14ac:dyDescent="0.5">
      <c r="A35" s="6" t="s">
        <v>103</v>
      </c>
      <c r="B35" s="8" t="s">
        <v>60</v>
      </c>
      <c r="C35" s="8" t="s">
        <v>59</v>
      </c>
      <c r="D35" s="8" t="s">
        <v>61</v>
      </c>
      <c r="E35" s="8" t="s">
        <v>51</v>
      </c>
      <c r="F35" s="8" t="s">
        <v>62</v>
      </c>
    </row>
    <row r="36" spans="1:6" ht="21" x14ac:dyDescent="0.5">
      <c r="A36" s="5" t="s">
        <v>104</v>
      </c>
      <c r="B36" s="8" t="s">
        <v>64</v>
      </c>
      <c r="C36" s="8" t="s">
        <v>63</v>
      </c>
      <c r="D36" s="8" t="s">
        <v>65</v>
      </c>
      <c r="E36" s="8" t="s">
        <v>66</v>
      </c>
      <c r="F36" s="8" t="s">
        <v>67</v>
      </c>
    </row>
    <row r="37" spans="1:6" ht="21" x14ac:dyDescent="0.5">
      <c r="A37" s="6" t="s">
        <v>19</v>
      </c>
      <c r="B37" s="8" t="s">
        <v>69</v>
      </c>
      <c r="C37" s="8" t="s">
        <v>68</v>
      </c>
      <c r="D37" s="8" t="s">
        <v>70</v>
      </c>
      <c r="E37" s="8" t="s">
        <v>71</v>
      </c>
      <c r="F37" s="8" t="s">
        <v>72</v>
      </c>
    </row>
    <row r="38" spans="1:6" ht="21" x14ac:dyDescent="0.5">
      <c r="A38" s="5" t="s">
        <v>105</v>
      </c>
      <c r="B38" s="8" t="s">
        <v>88</v>
      </c>
      <c r="C38" s="8" t="s">
        <v>89</v>
      </c>
      <c r="D38" s="8" t="s">
        <v>90</v>
      </c>
      <c r="E38" s="8" t="s">
        <v>91</v>
      </c>
      <c r="F38" s="8" t="s">
        <v>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方轩固</cp:lastModifiedBy>
  <dcterms:created xsi:type="dcterms:W3CDTF">2022-06-27T14:38:26Z</dcterms:created>
  <dcterms:modified xsi:type="dcterms:W3CDTF">2022-12-06T18:35:01Z</dcterms:modified>
</cp:coreProperties>
</file>