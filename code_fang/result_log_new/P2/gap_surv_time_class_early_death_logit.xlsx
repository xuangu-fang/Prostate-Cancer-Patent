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2\"/>
    </mc:Choice>
  </mc:AlternateContent>
  <xr:revisionPtr revIDLastSave="0" documentId="13_ncr:1_{3A5CCF8A-2844-43BC-B79A-C344E7C142A5}" xr6:coauthVersionLast="47" xr6:coauthVersionMax="47" xr10:uidLastSave="{00000000-0000-0000-0000-000000000000}"/>
  <bookViews>
    <workbookView xWindow="-28920" yWindow="1845" windowWidth="29040" windowHeight="15840" activeTab="2" xr2:uid="{00000000-000D-0000-FFFF-FFFF00000000}"/>
  </bookViews>
  <sheets>
    <sheet name="mean" sheetId="1" r:id="rId1"/>
    <sheet name="std" sheetId="2" r:id="rId2"/>
    <sheet name="Sheet1" sheetId="3" r:id="rId3"/>
  </sheets>
  <externalReferences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C15" i="3"/>
  <c r="D15" i="3"/>
  <c r="E15" i="3"/>
  <c r="F15" i="3"/>
  <c r="C16" i="3"/>
  <c r="D16" i="3"/>
  <c r="E16" i="3"/>
  <c r="F16" i="3"/>
  <c r="F3" i="3"/>
  <c r="F4" i="3"/>
  <c r="F5" i="3"/>
  <c r="F6" i="3"/>
  <c r="F7" i="3"/>
  <c r="F8" i="3"/>
  <c r="F9" i="3"/>
  <c r="F10" i="3"/>
  <c r="F11" i="3"/>
  <c r="F12" i="3"/>
  <c r="F13" i="3"/>
  <c r="F14" i="3"/>
  <c r="E3" i="3"/>
  <c r="E4" i="3"/>
  <c r="E5" i="3"/>
  <c r="E6" i="3"/>
  <c r="E7" i="3"/>
  <c r="E8" i="3"/>
  <c r="E9" i="3"/>
  <c r="E10" i="3"/>
  <c r="E11" i="3"/>
  <c r="E12" i="3"/>
  <c r="E13" i="3"/>
  <c r="E14" i="3"/>
  <c r="D3" i="3"/>
  <c r="D4" i="3"/>
  <c r="D5" i="3"/>
  <c r="D6" i="3"/>
  <c r="D7" i="3"/>
  <c r="D8" i="3"/>
  <c r="D9" i="3"/>
  <c r="D10" i="3"/>
  <c r="D11" i="3"/>
  <c r="D12" i="3"/>
  <c r="D13" i="3"/>
  <c r="D14" i="3"/>
  <c r="C3" i="3"/>
  <c r="C4" i="3"/>
  <c r="C5" i="3"/>
  <c r="C6" i="3"/>
  <c r="C7" i="3"/>
  <c r="C8" i="3"/>
  <c r="C9" i="3"/>
  <c r="C10" i="3"/>
  <c r="C11" i="3"/>
  <c r="C12" i="3"/>
  <c r="C13" i="3"/>
  <c r="C14" i="3"/>
  <c r="C2" i="3"/>
  <c r="D2" i="3"/>
  <c r="E2" i="3"/>
  <c r="F2" i="3"/>
</calcChain>
</file>

<file path=xl/sharedStrings.xml><?xml version="1.0" encoding="utf-8"?>
<sst xmlns="http://schemas.openxmlformats.org/spreadsheetml/2006/main" count="63" uniqueCount="22">
  <si>
    <t>accuracy</t>
  </si>
  <si>
    <t>auc</t>
  </si>
  <si>
    <t>precision</t>
  </si>
  <si>
    <t>recall</t>
  </si>
  <si>
    <t>specificity</t>
  </si>
  <si>
    <t>NPV</t>
  </si>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</sst>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常规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p_surv_time_class_early_death_logit_bi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n"/>
      <sheetName val="std"/>
    </sheetNames>
    <sheetDataSet>
      <sheetData sheetId="0">
        <row r="4">
          <cell r="B4">
            <v>0.63068965517241382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42D12-D24F-4777-9702-92A12FBC7007}" name="表1" displayName="表1" ref="A1:F16" totalsRowShown="0" headerRowDxfId="1">
  <autoFilter ref="A1:F16" xr:uid="{66E42D12-D24F-4777-9702-92A12FBC7007}"/>
  <tableColumns count="6">
    <tableColumn id="1" xr3:uid="{375B4A04-85F1-4D31-828B-6E0AE8BC7241}" name="列1" dataDxfId="2"/>
    <tableColumn id="2" xr3:uid="{C80E5AAD-7502-4301-8D40-1EF0A4672FE1}" name="accuracy" dataDxfId="0">
      <calculatedColumnFormula>[1]mean!$B$4</calculatedColumnFormula>
    </tableColumn>
    <tableColumn id="3" xr3:uid="{95569B73-BE4E-48A8-BCB4-1C261C688D3B}" name="auc">
      <calculatedColumnFormula>ROUND(mean!C2,3)&amp;"±"&amp;ROUND(std!C2*0.5,3)</calculatedColumnFormula>
    </tableColumn>
    <tableColumn id="4" xr3:uid="{CF5AF94F-21C8-4D44-A7EB-81BCD553827B}" name="precision">
      <calculatedColumnFormula>ROUND(mean!D2,3)&amp;"±"&amp;ROUND(std!D2*0.5,3)</calculatedColumnFormula>
    </tableColumn>
    <tableColumn id="5" xr3:uid="{2DF032A1-1C06-4450-B2E0-CA26C1D6C87A}" name="recall">
      <calculatedColumnFormula>ROUND(mean!E2,3)&amp;"±"&amp;ROUND(std!E2*0.5,3)</calculatedColumnFormula>
    </tableColumn>
    <tableColumn id="6" xr3:uid="{9B5D8B6E-9F80-4603-A927-5CC502B2D6F8}" name="specificity">
      <calculatedColumnFormula>ROUND(mean!F2,3)&amp;"±"&amp;ROUND(std!F2*0.5,3)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B1" sqref="B1:F1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0.72532019704433504</v>
      </c>
      <c r="C2">
        <v>0.57403963595220819</v>
      </c>
      <c r="D2">
        <v>0.77333333333333321</v>
      </c>
      <c r="E2">
        <v>0.2467391497391497</v>
      </c>
      <c r="F2">
        <v>0.96828282828282841</v>
      </c>
      <c r="G2">
        <v>0.718982637008724</v>
      </c>
    </row>
    <row r="3" spans="1:7" x14ac:dyDescent="0.35">
      <c r="A3" s="1" t="s">
        <v>7</v>
      </c>
      <c r="B3">
        <v>0.66546798029556653</v>
      </c>
      <c r="C3">
        <v>0.61826276790767309</v>
      </c>
      <c r="D3">
        <v>0.23</v>
      </c>
      <c r="E3">
        <v>5.4761904761904748E-2</v>
      </c>
      <c r="F3">
        <v>0.97420245257800775</v>
      </c>
      <c r="G3">
        <v>0.67356185985151507</v>
      </c>
    </row>
    <row r="4" spans="1:7" x14ac:dyDescent="0.35">
      <c r="A4" s="1" t="s">
        <v>8</v>
      </c>
      <c r="B4">
        <v>0.67374384236453211</v>
      </c>
      <c r="C4">
        <v>0.57639154720632724</v>
      </c>
      <c r="D4">
        <v>0.2</v>
      </c>
      <c r="E4">
        <v>2.0222222222222221E-2</v>
      </c>
      <c r="F4">
        <v>1</v>
      </c>
      <c r="G4">
        <v>0.67152709359605911</v>
      </c>
    </row>
    <row r="5" spans="1:7" x14ac:dyDescent="0.35">
      <c r="A5" s="1" t="s">
        <v>9</v>
      </c>
      <c r="B5">
        <v>0.66684729064039394</v>
      </c>
      <c r="C5">
        <v>0.57421156450823962</v>
      </c>
      <c r="D5">
        <v>0</v>
      </c>
      <c r="E5">
        <v>0</v>
      </c>
      <c r="F5">
        <v>1</v>
      </c>
      <c r="G5">
        <v>0.66684729064039394</v>
      </c>
    </row>
    <row r="6" spans="1:7" x14ac:dyDescent="0.35">
      <c r="A6" s="1" t="s">
        <v>10</v>
      </c>
      <c r="B6">
        <v>0.69605911330049253</v>
      </c>
      <c r="C6">
        <v>0.66783970721849306</v>
      </c>
      <c r="D6">
        <v>0.56285714285714283</v>
      </c>
      <c r="E6">
        <v>0.22263292263292259</v>
      </c>
      <c r="F6">
        <v>0.93474703149410365</v>
      </c>
      <c r="G6">
        <v>0.70568298495884707</v>
      </c>
    </row>
    <row r="7" spans="1:7" x14ac:dyDescent="0.35">
      <c r="A7" s="1" t="s">
        <v>11</v>
      </c>
      <c r="B7">
        <v>0.73221674876847287</v>
      </c>
      <c r="C7">
        <v>0.61463240021969323</v>
      </c>
      <c r="D7">
        <v>0.81733333333333336</v>
      </c>
      <c r="E7">
        <v>0.2528075258075258</v>
      </c>
      <c r="F7">
        <v>0.97721330956625052</v>
      </c>
      <c r="G7">
        <v>0.72282178336960945</v>
      </c>
    </row>
    <row r="8" spans="1:7" x14ac:dyDescent="0.35">
      <c r="A8" s="1" t="s">
        <v>12</v>
      </c>
      <c r="B8">
        <v>0.73773399014778318</v>
      </c>
      <c r="C8">
        <v>0.61901925066752095</v>
      </c>
      <c r="D8">
        <v>0.83999999999999986</v>
      </c>
      <c r="E8">
        <v>0.25118359418359409</v>
      </c>
      <c r="F8">
        <v>0.98455555555555563</v>
      </c>
      <c r="G8">
        <v>0.72310858770858766</v>
      </c>
    </row>
    <row r="9" spans="1:7" x14ac:dyDescent="0.35">
      <c r="A9" s="1" t="s">
        <v>13</v>
      </c>
      <c r="B9">
        <v>0.66679802955665024</v>
      </c>
      <c r="C9">
        <v>0.62036833351061382</v>
      </c>
      <c r="D9">
        <v>0.21666666666666659</v>
      </c>
      <c r="E9">
        <v>6.2761904761904755E-2</v>
      </c>
      <c r="F9">
        <v>0.97181010808040025</v>
      </c>
      <c r="G9">
        <v>0.67497415126380655</v>
      </c>
    </row>
    <row r="10" spans="1:7" x14ac:dyDescent="0.35">
      <c r="A10" s="1" t="s">
        <v>14</v>
      </c>
      <c r="B10">
        <v>0.66551724137931034</v>
      </c>
      <c r="C10">
        <v>0.62104951419260224</v>
      </c>
      <c r="D10">
        <v>0.2533333333333333</v>
      </c>
      <c r="E10">
        <v>5.4984126984126983E-2</v>
      </c>
      <c r="F10">
        <v>0.974281503961407</v>
      </c>
      <c r="G10">
        <v>0.67343129412094926</v>
      </c>
    </row>
    <row r="11" spans="1:7" x14ac:dyDescent="0.35">
      <c r="A11" s="1" t="s">
        <v>15</v>
      </c>
      <c r="B11">
        <v>0.67098522167487684</v>
      </c>
      <c r="C11">
        <v>0.5973246962875447</v>
      </c>
      <c r="D11">
        <v>0.12</v>
      </c>
      <c r="E11">
        <v>1.2222222222222219E-2</v>
      </c>
      <c r="F11">
        <v>1</v>
      </c>
      <c r="G11">
        <v>0.66965517241379302</v>
      </c>
    </row>
    <row r="12" spans="1:7" x14ac:dyDescent="0.35">
      <c r="A12" s="1" t="s">
        <v>16</v>
      </c>
      <c r="B12">
        <v>0.70162561576354687</v>
      </c>
      <c r="C12">
        <v>0.67063573808223154</v>
      </c>
      <c r="D12">
        <v>0.61285714285714288</v>
      </c>
      <c r="E12">
        <v>0.2156487956487956</v>
      </c>
      <c r="F12">
        <v>0.94616658848547375</v>
      </c>
      <c r="G12">
        <v>0.70691154930915057</v>
      </c>
    </row>
    <row r="13" spans="1:7" x14ac:dyDescent="0.35">
      <c r="A13" s="1" t="s">
        <v>17</v>
      </c>
      <c r="B13">
        <v>0.70300492610837439</v>
      </c>
      <c r="C13">
        <v>0.67971671081793572</v>
      </c>
      <c r="D13">
        <v>0.59619047619047616</v>
      </c>
      <c r="E13">
        <v>0.22878676878676879</v>
      </c>
      <c r="F13">
        <v>0.94196925371632589</v>
      </c>
      <c r="G13">
        <v>0.70931375418961629</v>
      </c>
    </row>
    <row r="14" spans="1:7" x14ac:dyDescent="0.35">
      <c r="A14" s="1" t="s">
        <v>18</v>
      </c>
      <c r="B14">
        <v>0.73497536945812814</v>
      </c>
      <c r="C14">
        <v>0.63850503904495015</v>
      </c>
      <c r="D14">
        <v>0.82933333333333326</v>
      </c>
      <c r="E14">
        <v>0.2528075258075258</v>
      </c>
      <c r="F14">
        <v>0.9815662507427213</v>
      </c>
      <c r="G14">
        <v>0.72383226274530621</v>
      </c>
    </row>
    <row r="15" spans="1:7" x14ac:dyDescent="0.35">
      <c r="A15" s="1" t="s">
        <v>19</v>
      </c>
      <c r="B15">
        <v>0.66965517241379302</v>
      </c>
      <c r="C15">
        <v>0.62754654041610569</v>
      </c>
      <c r="D15">
        <v>0.27</v>
      </c>
      <c r="E15">
        <v>6.2761904761904755E-2</v>
      </c>
      <c r="F15">
        <v>0.97602063439618958</v>
      </c>
      <c r="G15">
        <v>0.67578343087308601</v>
      </c>
    </row>
    <row r="16" spans="1:7" x14ac:dyDescent="0.35">
      <c r="A16" s="1" t="s">
        <v>20</v>
      </c>
      <c r="B16">
        <v>0.70852216748768471</v>
      </c>
      <c r="C16">
        <v>0.6826497915569123</v>
      </c>
      <c r="D16">
        <v>0.62819047619047619</v>
      </c>
      <c r="E16">
        <v>0.23507736707736701</v>
      </c>
      <c r="F16">
        <v>0.94816658848547386</v>
      </c>
      <c r="G16">
        <v>0.71247052366812491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1.042864239965987E-2</v>
      </c>
      <c r="C2">
        <v>6.2916354463174576E-2</v>
      </c>
      <c r="D2">
        <v>0.14220486005134361</v>
      </c>
      <c r="E2">
        <v>2.525859279475404E-2</v>
      </c>
      <c r="F2">
        <v>2.131944350971952E-2</v>
      </c>
      <c r="G2">
        <v>1.7458640299153349E-3</v>
      </c>
    </row>
    <row r="3" spans="1:7" x14ac:dyDescent="0.35">
      <c r="A3" s="1" t="s">
        <v>7</v>
      </c>
      <c r="B3">
        <v>7.4675643592658422E-3</v>
      </c>
      <c r="C3">
        <v>3.2446461973054341E-2</v>
      </c>
      <c r="D3">
        <v>8.366600265340754E-2</v>
      </c>
      <c r="E3">
        <v>2.2629487983148022E-2</v>
      </c>
      <c r="F3">
        <v>5.7679350829617816E-3</v>
      </c>
      <c r="G3">
        <v>4.4109996736779646E-3</v>
      </c>
    </row>
    <row r="4" spans="1:7" x14ac:dyDescent="0.35">
      <c r="A4" s="1" t="s">
        <v>8</v>
      </c>
      <c r="B4">
        <v>3.7354066226860861E-4</v>
      </c>
      <c r="C4">
        <v>1.9637842480539631E-2</v>
      </c>
      <c r="D4">
        <v>0</v>
      </c>
      <c r="E4">
        <v>2.277100170213243E-3</v>
      </c>
      <c r="F4">
        <v>0</v>
      </c>
      <c r="G4">
        <v>5.3962813547297356E-4</v>
      </c>
    </row>
    <row r="5" spans="1:7" x14ac:dyDescent="0.35">
      <c r="A5" s="1" t="s">
        <v>9</v>
      </c>
      <c r="B5">
        <v>3.7354066226854898E-4</v>
      </c>
      <c r="C5">
        <v>1.2585222325796969E-2</v>
      </c>
      <c r="D5">
        <v>0</v>
      </c>
      <c r="E5">
        <v>0</v>
      </c>
      <c r="F5">
        <v>0</v>
      </c>
      <c r="G5">
        <v>3.7354066226854898E-4</v>
      </c>
    </row>
    <row r="6" spans="1:7" x14ac:dyDescent="0.35">
      <c r="A6" s="1" t="s">
        <v>10</v>
      </c>
      <c r="B6">
        <v>9.0364218363764015E-3</v>
      </c>
      <c r="C6">
        <v>3.8467788395085599E-2</v>
      </c>
      <c r="D6">
        <v>0.1143040659868834</v>
      </c>
      <c r="E6">
        <v>2.088143009663395E-2</v>
      </c>
      <c r="F6">
        <v>1.0061644029483389E-2</v>
      </c>
      <c r="G6">
        <v>3.6043425628325661E-3</v>
      </c>
    </row>
    <row r="7" spans="1:7" x14ac:dyDescent="0.35">
      <c r="A7" s="1" t="s">
        <v>11</v>
      </c>
      <c r="B7">
        <v>3.6921174050352111E-3</v>
      </c>
      <c r="C7">
        <v>7.0179124331673962E-2</v>
      </c>
      <c r="D7">
        <v>6.3526022664381815E-2</v>
      </c>
      <c r="E7">
        <v>5.9574654010364856E-3</v>
      </c>
      <c r="F7">
        <v>6.678400869085244E-3</v>
      </c>
      <c r="G7">
        <v>2.9900103172692538E-3</v>
      </c>
    </row>
    <row r="8" spans="1:7" x14ac:dyDescent="0.35">
      <c r="A8" s="1" t="s">
        <v>12</v>
      </c>
      <c r="B8">
        <v>2.6147846358797518E-3</v>
      </c>
      <c r="C8">
        <v>4.7867775725093382E-2</v>
      </c>
      <c r="D8">
        <v>9.8319208025017521E-2</v>
      </c>
      <c r="E8">
        <v>2.3070606209942311E-2</v>
      </c>
      <c r="F8">
        <v>6.4567650425591686E-3</v>
      </c>
      <c r="G8">
        <v>4.2875119711628142E-3</v>
      </c>
    </row>
    <row r="9" spans="1:7" x14ac:dyDescent="0.35">
      <c r="A9" s="1" t="s">
        <v>13</v>
      </c>
      <c r="B9">
        <v>4.970245617982056E-3</v>
      </c>
      <c r="C9">
        <v>3.534725339563926E-2</v>
      </c>
      <c r="D9">
        <v>9.4280904158206322E-2</v>
      </c>
      <c r="E9">
        <v>1.7487568921020661E-2</v>
      </c>
      <c r="F9">
        <v>5.1268053244925404E-3</v>
      </c>
      <c r="G9">
        <v>3.1729730130609429E-3</v>
      </c>
    </row>
    <row r="10" spans="1:7" x14ac:dyDescent="0.35">
      <c r="A10" s="1" t="s">
        <v>14</v>
      </c>
      <c r="B10">
        <v>7.6493596814135494E-3</v>
      </c>
      <c r="C10">
        <v>2.8450437535373879E-2</v>
      </c>
      <c r="D10">
        <v>0.1386442289539028</v>
      </c>
      <c r="E10">
        <v>2.133536460473151E-2</v>
      </c>
      <c r="F10">
        <v>9.3323322729496425E-3</v>
      </c>
      <c r="G10">
        <v>4.3477762289452146E-3</v>
      </c>
    </row>
    <row r="11" spans="1:7" x14ac:dyDescent="0.35">
      <c r="A11" s="1" t="s">
        <v>15</v>
      </c>
      <c r="B11">
        <v>3.8842918988580099E-3</v>
      </c>
      <c r="C11">
        <v>2.4189220753993192E-2</v>
      </c>
      <c r="D11">
        <v>0.1095445115010332</v>
      </c>
      <c r="E11">
        <v>1.1385500851066221E-2</v>
      </c>
      <c r="F11">
        <v>0</v>
      </c>
      <c r="G11">
        <v>2.7059988112260311E-3</v>
      </c>
    </row>
    <row r="12" spans="1:7" x14ac:dyDescent="0.35">
      <c r="A12" s="1" t="s">
        <v>16</v>
      </c>
      <c r="B12">
        <v>1.6284681647681321E-2</v>
      </c>
      <c r="C12">
        <v>4.5388138591467279E-2</v>
      </c>
      <c r="D12">
        <v>0.16724050871455171</v>
      </c>
      <c r="E12">
        <v>2.4428285669086249E-2</v>
      </c>
      <c r="F12">
        <v>1.093123958054963E-2</v>
      </c>
      <c r="G12">
        <v>6.9915930610656308E-3</v>
      </c>
    </row>
    <row r="13" spans="1:7" x14ac:dyDescent="0.35">
      <c r="A13" s="1" t="s">
        <v>17</v>
      </c>
      <c r="B13">
        <v>3.0336589630940041E-3</v>
      </c>
      <c r="C13">
        <v>3.033655301702599E-2</v>
      </c>
      <c r="D13">
        <v>8.7525182641179797E-2</v>
      </c>
      <c r="E13">
        <v>2.4207515595612811E-2</v>
      </c>
      <c r="F13">
        <v>7.0423166991289386E-3</v>
      </c>
      <c r="G13">
        <v>3.4844723677666459E-3</v>
      </c>
    </row>
    <row r="14" spans="1:7" x14ac:dyDescent="0.35">
      <c r="A14" s="1" t="s">
        <v>18</v>
      </c>
      <c r="B14">
        <v>5.7737478668626659E-3</v>
      </c>
      <c r="C14">
        <v>5.5609182676348297E-2</v>
      </c>
      <c r="D14">
        <v>7.9665969313544777E-2</v>
      </c>
      <c r="E14">
        <v>5.9574654010364856E-3</v>
      </c>
      <c r="F14">
        <v>4.9722247761374251E-3</v>
      </c>
      <c r="G14">
        <v>1.725177778241828E-3</v>
      </c>
    </row>
    <row r="15" spans="1:7" x14ac:dyDescent="0.35">
      <c r="A15" s="1" t="s">
        <v>19</v>
      </c>
      <c r="B15">
        <v>6.2974279724475786E-3</v>
      </c>
      <c r="C15">
        <v>2.5431378366169079E-2</v>
      </c>
      <c r="D15">
        <v>0.12605113600792689</v>
      </c>
      <c r="E15">
        <v>1.7487568921020661E-2</v>
      </c>
      <c r="F15">
        <v>6.2418271666436573E-3</v>
      </c>
      <c r="G15">
        <v>3.8185029228117858E-3</v>
      </c>
    </row>
    <row r="16" spans="1:7" x14ac:dyDescent="0.35">
      <c r="A16" s="1" t="s">
        <v>20</v>
      </c>
      <c r="B16">
        <v>9.8930802808466934E-3</v>
      </c>
      <c r="C16">
        <v>3.1816474118725409E-2</v>
      </c>
      <c r="D16">
        <v>0.15404500623382189</v>
      </c>
      <c r="E16">
        <v>2.247821327678335E-2</v>
      </c>
      <c r="F16">
        <v>1.01539894024196E-2</v>
      </c>
      <c r="G16">
        <v>3.3856829235468021E-3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C7EC-FDD8-4DE6-B5D5-2F660279A62B}">
  <dimension ref="A1:F16"/>
  <sheetViews>
    <sheetView tabSelected="1" workbookViewId="0">
      <selection activeCell="B2" sqref="B2"/>
    </sheetView>
  </sheetViews>
  <sheetFormatPr defaultRowHeight="14.5" x14ac:dyDescent="0.35"/>
  <cols>
    <col min="1" max="1" width="17.54296875" customWidth="1"/>
    <col min="2" max="2" width="15.453125" customWidth="1"/>
    <col min="3" max="3" width="13.26953125" customWidth="1"/>
    <col min="4" max="4" width="12.26953125" customWidth="1"/>
    <col min="5" max="5" width="11.90625" customWidth="1"/>
    <col min="6" max="6" width="11.453125" customWidth="1"/>
  </cols>
  <sheetData>
    <row r="1" spans="1:6" x14ac:dyDescent="0.35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6</v>
      </c>
      <c r="B2">
        <f>[1]mean!$B$4</f>
        <v>0.63068965517241382</v>
      </c>
      <c r="C2" t="str">
        <f>ROUND(mean!C2,3)&amp;"±"&amp;ROUND(std!C2*0.5,3)</f>
        <v>0.574±0.031</v>
      </c>
      <c r="D2" t="str">
        <f>ROUND(mean!D2,3)&amp;"±"&amp;ROUND(std!D2*0.5,3)</f>
        <v>0.773±0.071</v>
      </c>
      <c r="E2" t="str">
        <f>ROUND(mean!E2,3)&amp;"±"&amp;ROUND(std!E2*0.5,3)</f>
        <v>0.247±0.013</v>
      </c>
      <c r="F2" t="str">
        <f>ROUND(mean!F2,3)&amp;"±"&amp;ROUND(std!F2*0.5,3)</f>
        <v>0.968±0.011</v>
      </c>
    </row>
    <row r="3" spans="1:6" x14ac:dyDescent="0.35">
      <c r="A3" s="1" t="s">
        <v>7</v>
      </c>
      <c r="B3">
        <f>[1]mean!$B$4</f>
        <v>0.63068965517241382</v>
      </c>
      <c r="C3" t="str">
        <f>ROUND(mean!C3,3)&amp;"±"&amp;ROUND(std!C3*0.5,3)</f>
        <v>0.618±0.016</v>
      </c>
      <c r="D3" t="str">
        <f>ROUND(mean!D3,3)&amp;"±"&amp;ROUND(std!D3*0.5,3)</f>
        <v>0.23±0.042</v>
      </c>
      <c r="E3" t="str">
        <f>ROUND(mean!E3,3)&amp;"±"&amp;ROUND(std!E3*0.5,3)</f>
        <v>0.055±0.011</v>
      </c>
      <c r="F3" t="str">
        <f>ROUND(mean!F3,3)&amp;"±"&amp;ROUND(std!F3*0.5,3)</f>
        <v>0.974±0.003</v>
      </c>
    </row>
    <row r="4" spans="1:6" x14ac:dyDescent="0.35">
      <c r="A4" s="1" t="s">
        <v>8</v>
      </c>
      <c r="B4">
        <f>[1]mean!$B$4</f>
        <v>0.63068965517241382</v>
      </c>
      <c r="C4" t="str">
        <f>ROUND(mean!C4,3)&amp;"±"&amp;ROUND(std!C4*0.5,3)</f>
        <v>0.576±0.01</v>
      </c>
      <c r="D4" t="str">
        <f>ROUND(mean!D4,3)&amp;"±"&amp;ROUND(std!D4*0.5,3)</f>
        <v>0.2±0</v>
      </c>
      <c r="E4" t="str">
        <f>ROUND(mean!E4,3)&amp;"±"&amp;ROUND(std!E4*0.5,3)</f>
        <v>0.02±0.001</v>
      </c>
      <c r="F4" t="str">
        <f>ROUND(mean!F4,3)&amp;"±"&amp;ROUND(std!F4*0.5,3)</f>
        <v>1±0</v>
      </c>
    </row>
    <row r="5" spans="1:6" x14ac:dyDescent="0.35">
      <c r="A5" s="1" t="s">
        <v>9</v>
      </c>
      <c r="B5">
        <f>[1]mean!$B$4</f>
        <v>0.63068965517241382</v>
      </c>
      <c r="C5" t="str">
        <f>ROUND(mean!C5,3)&amp;"±"&amp;ROUND(std!C5*0.5,3)</f>
        <v>0.574±0.006</v>
      </c>
      <c r="D5" t="str">
        <f>ROUND(mean!D5,3)&amp;"±"&amp;ROUND(std!D5*0.5,3)</f>
        <v>0±0</v>
      </c>
      <c r="E5" t="str">
        <f>ROUND(mean!E5,3)&amp;"±"&amp;ROUND(std!E5*0.5,3)</f>
        <v>0±0</v>
      </c>
      <c r="F5" t="str">
        <f>ROUND(mean!F5,3)&amp;"±"&amp;ROUND(std!F5*0.5,3)</f>
        <v>1±0</v>
      </c>
    </row>
    <row r="6" spans="1:6" x14ac:dyDescent="0.35">
      <c r="A6" s="1" t="s">
        <v>10</v>
      </c>
      <c r="B6">
        <f>[1]mean!$B$4</f>
        <v>0.63068965517241382</v>
      </c>
      <c r="C6" t="str">
        <f>ROUND(mean!C6,3)&amp;"±"&amp;ROUND(std!C6*0.5,3)</f>
        <v>0.668±0.019</v>
      </c>
      <c r="D6" t="str">
        <f>ROUND(mean!D6,3)&amp;"±"&amp;ROUND(std!D6*0.5,3)</f>
        <v>0.563±0.057</v>
      </c>
      <c r="E6" t="str">
        <f>ROUND(mean!E6,3)&amp;"±"&amp;ROUND(std!E6*0.5,3)</f>
        <v>0.223±0.01</v>
      </c>
      <c r="F6" t="str">
        <f>ROUND(mean!F6,3)&amp;"±"&amp;ROUND(std!F6*0.5,3)</f>
        <v>0.935±0.005</v>
      </c>
    </row>
    <row r="7" spans="1:6" x14ac:dyDescent="0.35">
      <c r="A7" s="1" t="s">
        <v>11</v>
      </c>
      <c r="B7">
        <f>[1]mean!$B$4</f>
        <v>0.63068965517241382</v>
      </c>
      <c r="C7" t="str">
        <f>ROUND(mean!C7,3)&amp;"±"&amp;ROUND(std!C7*0.5,3)</f>
        <v>0.615±0.035</v>
      </c>
      <c r="D7" t="str">
        <f>ROUND(mean!D7,3)&amp;"±"&amp;ROUND(std!D7*0.5,3)</f>
        <v>0.817±0.032</v>
      </c>
      <c r="E7" t="str">
        <f>ROUND(mean!E7,3)&amp;"±"&amp;ROUND(std!E7*0.5,3)</f>
        <v>0.253±0.003</v>
      </c>
      <c r="F7" t="str">
        <f>ROUND(mean!F7,3)&amp;"±"&amp;ROUND(std!F7*0.5,3)</f>
        <v>0.977±0.003</v>
      </c>
    </row>
    <row r="8" spans="1:6" x14ac:dyDescent="0.35">
      <c r="A8" s="1" t="s">
        <v>12</v>
      </c>
      <c r="B8">
        <f>[1]mean!$B$4</f>
        <v>0.63068965517241382</v>
      </c>
      <c r="C8" t="str">
        <f>ROUND(mean!C8,3)&amp;"±"&amp;ROUND(std!C8*0.5,3)</f>
        <v>0.619±0.024</v>
      </c>
      <c r="D8" t="str">
        <f>ROUND(mean!D8,3)&amp;"±"&amp;ROUND(std!D8*0.5,3)</f>
        <v>0.84±0.049</v>
      </c>
      <c r="E8" t="str">
        <f>ROUND(mean!E8,3)&amp;"±"&amp;ROUND(std!E8*0.5,3)</f>
        <v>0.251±0.012</v>
      </c>
      <c r="F8" t="str">
        <f>ROUND(mean!F8,3)&amp;"±"&amp;ROUND(std!F8*0.5,3)</f>
        <v>0.985±0.003</v>
      </c>
    </row>
    <row r="9" spans="1:6" x14ac:dyDescent="0.35">
      <c r="A9" s="1" t="s">
        <v>13</v>
      </c>
      <c r="B9">
        <f>[1]mean!$B$4</f>
        <v>0.63068965517241382</v>
      </c>
      <c r="C9" t="str">
        <f>ROUND(mean!C9,3)&amp;"±"&amp;ROUND(std!C9*0.5,3)</f>
        <v>0.62±0.018</v>
      </c>
      <c r="D9" t="str">
        <f>ROUND(mean!D9,3)&amp;"±"&amp;ROUND(std!D9*0.5,3)</f>
        <v>0.217±0.047</v>
      </c>
      <c r="E9" t="str">
        <f>ROUND(mean!E9,3)&amp;"±"&amp;ROUND(std!E9*0.5,3)</f>
        <v>0.063±0.009</v>
      </c>
      <c r="F9" t="str">
        <f>ROUND(mean!F9,3)&amp;"±"&amp;ROUND(std!F9*0.5,3)</f>
        <v>0.972±0.003</v>
      </c>
    </row>
    <row r="10" spans="1:6" x14ac:dyDescent="0.35">
      <c r="A10" s="1" t="s">
        <v>14</v>
      </c>
      <c r="B10">
        <f>[1]mean!$B$4</f>
        <v>0.63068965517241382</v>
      </c>
      <c r="C10" t="str">
        <f>ROUND(mean!C10,3)&amp;"±"&amp;ROUND(std!C10*0.5,3)</f>
        <v>0.621±0.014</v>
      </c>
      <c r="D10" t="str">
        <f>ROUND(mean!D10,3)&amp;"±"&amp;ROUND(std!D10*0.5,3)</f>
        <v>0.253±0.069</v>
      </c>
      <c r="E10" t="str">
        <f>ROUND(mean!E10,3)&amp;"±"&amp;ROUND(std!E10*0.5,3)</f>
        <v>0.055±0.011</v>
      </c>
      <c r="F10" t="str">
        <f>ROUND(mean!F10,3)&amp;"±"&amp;ROUND(std!F10*0.5,3)</f>
        <v>0.974±0.005</v>
      </c>
    </row>
    <row r="11" spans="1:6" x14ac:dyDescent="0.35">
      <c r="A11" s="1" t="s">
        <v>15</v>
      </c>
      <c r="B11">
        <f>[1]mean!$B$4</f>
        <v>0.63068965517241382</v>
      </c>
      <c r="C11" t="str">
        <f>ROUND(mean!C11,3)&amp;"±"&amp;ROUND(std!C11*0.5,3)</f>
        <v>0.597±0.012</v>
      </c>
      <c r="D11" t="str">
        <f>ROUND(mean!D11,3)&amp;"±"&amp;ROUND(std!D11*0.5,3)</f>
        <v>0.12±0.055</v>
      </c>
      <c r="E11" t="str">
        <f>ROUND(mean!E11,3)&amp;"±"&amp;ROUND(std!E11*0.5,3)</f>
        <v>0.012±0.006</v>
      </c>
      <c r="F11" t="str">
        <f>ROUND(mean!F11,3)&amp;"±"&amp;ROUND(std!F11*0.5,3)</f>
        <v>1±0</v>
      </c>
    </row>
    <row r="12" spans="1:6" x14ac:dyDescent="0.35">
      <c r="A12" s="1" t="s">
        <v>16</v>
      </c>
      <c r="B12">
        <f>[1]mean!$B$4</f>
        <v>0.63068965517241382</v>
      </c>
      <c r="C12" t="str">
        <f>ROUND(mean!C12,3)&amp;"±"&amp;ROUND(std!C12*0.5,3)</f>
        <v>0.671±0.023</v>
      </c>
      <c r="D12" t="str">
        <f>ROUND(mean!D12,3)&amp;"±"&amp;ROUND(std!D12*0.5,3)</f>
        <v>0.613±0.084</v>
      </c>
      <c r="E12" t="str">
        <f>ROUND(mean!E12,3)&amp;"±"&amp;ROUND(std!E12*0.5,3)</f>
        <v>0.216±0.012</v>
      </c>
      <c r="F12" t="str">
        <f>ROUND(mean!F12,3)&amp;"±"&amp;ROUND(std!F12*0.5,3)</f>
        <v>0.946±0.005</v>
      </c>
    </row>
    <row r="13" spans="1:6" x14ac:dyDescent="0.35">
      <c r="A13" s="1" t="s">
        <v>17</v>
      </c>
      <c r="B13">
        <f>[1]mean!$B$4</f>
        <v>0.63068965517241382</v>
      </c>
      <c r="C13" t="str">
        <f>ROUND(mean!C13,3)&amp;"±"&amp;ROUND(std!C13*0.5,3)</f>
        <v>0.68±0.015</v>
      </c>
      <c r="D13" t="str">
        <f>ROUND(mean!D13,3)&amp;"±"&amp;ROUND(std!D13*0.5,3)</f>
        <v>0.596±0.044</v>
      </c>
      <c r="E13" t="str">
        <f>ROUND(mean!E13,3)&amp;"±"&amp;ROUND(std!E13*0.5,3)</f>
        <v>0.229±0.012</v>
      </c>
      <c r="F13" t="str">
        <f>ROUND(mean!F13,3)&amp;"±"&amp;ROUND(std!F13*0.5,3)</f>
        <v>0.942±0.004</v>
      </c>
    </row>
    <row r="14" spans="1:6" x14ac:dyDescent="0.35">
      <c r="A14" s="1" t="s">
        <v>18</v>
      </c>
      <c r="B14" s="2">
        <f>[1]mean!$B$4</f>
        <v>0.63068965517241382</v>
      </c>
      <c r="C14" s="2" t="str">
        <f>ROUND(mean!C14,3)&amp;"±"&amp;ROUND(std!C14*0.5,3)</f>
        <v>0.639±0.028</v>
      </c>
      <c r="D14" s="2" t="str">
        <f>ROUND(mean!D14,3)&amp;"±"&amp;ROUND(std!D14*0.5,3)</f>
        <v>0.829±0.04</v>
      </c>
      <c r="E14" s="2" t="str">
        <f>ROUND(mean!E14,3)&amp;"±"&amp;ROUND(std!E14*0.5,3)</f>
        <v>0.253±0.003</v>
      </c>
      <c r="F14" s="2" t="str">
        <f>ROUND(mean!F14,3)&amp;"±"&amp;ROUND(std!F14*0.5,3)</f>
        <v>0.982±0.002</v>
      </c>
    </row>
    <row r="15" spans="1:6" x14ac:dyDescent="0.35">
      <c r="A15" s="1" t="s">
        <v>19</v>
      </c>
      <c r="B15">
        <f>[1]mean!$B$4</f>
        <v>0.63068965517241382</v>
      </c>
      <c r="C15" t="str">
        <f>ROUND(mean!C15,3)&amp;"±"&amp;ROUND(std!C15*0.5,3)</f>
        <v>0.628±0.013</v>
      </c>
      <c r="D15" t="str">
        <f>ROUND(mean!D15,3)&amp;"±"&amp;ROUND(std!D15*0.5,3)</f>
        <v>0.27±0.063</v>
      </c>
      <c r="E15" t="str">
        <f>ROUND(mean!E15,3)&amp;"±"&amp;ROUND(std!E15*0.5,3)</f>
        <v>0.063±0.009</v>
      </c>
      <c r="F15" t="str">
        <f>ROUND(mean!F15,3)&amp;"±"&amp;ROUND(std!F15*0.5,3)</f>
        <v>0.976±0.003</v>
      </c>
    </row>
    <row r="16" spans="1:6" x14ac:dyDescent="0.35">
      <c r="A16" s="1" t="s">
        <v>20</v>
      </c>
      <c r="B16">
        <f>[1]mean!$B$4</f>
        <v>0.63068965517241382</v>
      </c>
      <c r="C16" t="str">
        <f>ROUND(mean!C16,3)&amp;"±"&amp;ROUND(std!C16*0.5,3)</f>
        <v>0.683±0.016</v>
      </c>
      <c r="D16" t="str">
        <f>ROUND(mean!D16,3)&amp;"±"&amp;ROUND(std!D16*0.5,3)</f>
        <v>0.628±0.077</v>
      </c>
      <c r="E16" t="str">
        <f>ROUND(mean!E16,3)&amp;"±"&amp;ROUND(std!E16*0.5,3)</f>
        <v>0.235±0.011</v>
      </c>
      <c r="F16" t="str">
        <f>ROUND(mean!F16,3)&amp;"±"&amp;ROUND(std!F16*0.5,3)</f>
        <v>0.948±0.005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方轩固</cp:lastModifiedBy>
  <dcterms:created xsi:type="dcterms:W3CDTF">2022-06-27T14:47:20Z</dcterms:created>
  <dcterms:modified xsi:type="dcterms:W3CDTF">2022-09-02T21:34:26Z</dcterms:modified>
</cp:coreProperties>
</file>