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_new\P2\"/>
    </mc:Choice>
  </mc:AlternateContent>
  <xr:revisionPtr revIDLastSave="0" documentId="13_ncr:1_{311532A3-98F4-457E-8913-A1018717C267}" xr6:coauthVersionLast="47" xr6:coauthVersionMax="47" xr10:uidLastSave="{00000000-0000-0000-0000-000000000000}"/>
  <bookViews>
    <workbookView xWindow="-28920" yWindow="1830" windowWidth="29040" windowHeight="15840" activeTab="2" xr2:uid="{00000000-000D-0000-FFFF-FFFF00000000}"/>
  </bookViews>
  <sheets>
    <sheet name="mean" sheetId="1" r:id="rId1"/>
    <sheet name="std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D1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D2" i="3"/>
  <c r="E2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</calcChain>
</file>

<file path=xl/sharedStrings.xml><?xml version="1.0" encoding="utf-8"?>
<sst xmlns="http://schemas.openxmlformats.org/spreadsheetml/2006/main" count="167" uniqueCount="117">
  <si>
    <t>accuracy</t>
  </si>
  <si>
    <t>auc</t>
  </si>
  <si>
    <t>precision</t>
  </si>
  <si>
    <t>recall</t>
  </si>
  <si>
    <t>specificity</t>
  </si>
  <si>
    <t>NPV</t>
  </si>
  <si>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</si>
  <si>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</si>
  <si>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</si>
  <si>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</si>
  <si>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</si>
  <si>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</si>
  <si>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</si>
  <si>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</si>
  <si>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</si>
  <si>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</si>
  <si>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</si>
  <si>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</si>
  <si>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</si>
  <si>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</si>
  <si>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</si>
  <si>
    <t>列1</t>
  </si>
  <si>
    <t>0.725±0.005</t>
  </si>
  <si>
    <t>0.574±0.031</t>
  </si>
  <si>
    <t>0.773±0.071</t>
  </si>
  <si>
    <t>0.247±0.013</t>
  </si>
  <si>
    <t>0.968±0.011</t>
  </si>
  <si>
    <t>0.61±0.017</t>
  </si>
  <si>
    <t>0.572±0.008</t>
  </si>
  <si>
    <t>0.406±0.029</t>
  </si>
  <si>
    <t>0.34±0.03</t>
  </si>
  <si>
    <t>0.748±0.03</t>
  </si>
  <si>
    <t>0.631±0.007</t>
  </si>
  <si>
    <t>0.549±0.006</t>
  </si>
  <si>
    <t>0.359±0.022</t>
  </si>
  <si>
    <t>0.136±0.017</t>
  </si>
  <si>
    <t>0.881±0.013</t>
  </si>
  <si>
    <t>0.629±0.006</t>
  </si>
  <si>
    <t>0.606±0.008</t>
  </si>
  <si>
    <t>0.155±0.019</t>
  </si>
  <si>
    <t>0.068±0.012</t>
  </si>
  <si>
    <t>0.917±0.013</t>
  </si>
  <si>
    <t>0.639±0.009</t>
  </si>
  <si>
    <t>0.647±0.015</t>
  </si>
  <si>
    <t>0.46±0.014</t>
  </si>
  <si>
    <t>0.355±0.023</t>
  </si>
  <si>
    <t>0.78±0.016</t>
  </si>
  <si>
    <t>0.677±0.013</t>
  </si>
  <si>
    <t>0.6±0.025</t>
  </si>
  <si>
    <t>0.578±0.037</t>
  </si>
  <si>
    <t>0.269±0.012</t>
  </si>
  <si>
    <t>0.886±0.014</t>
  </si>
  <si>
    <t>0.732±0.008</t>
  </si>
  <si>
    <t>0.684±0.011</t>
  </si>
  <si>
    <t>0.769±0.025</t>
  </si>
  <si>
    <t>0.31±0.01</t>
  </si>
  <si>
    <t>0.952±0.008</t>
  </si>
  <si>
    <t>0.601±0.004</t>
  </si>
  <si>
    <t>0.569±0.007</t>
  </si>
  <si>
    <t>0.386±0.007</t>
  </si>
  <si>
    <t>0.316±0.023</t>
  </si>
  <si>
    <t>0.748±0.006</t>
  </si>
  <si>
    <t>0.619±0.012</t>
  </si>
  <si>
    <t>0.605±0.011</t>
  </si>
  <si>
    <t>0.427±0.021</t>
  </si>
  <si>
    <t>0.39±0.024</t>
  </si>
  <si>
    <t>0.74±0.017</t>
  </si>
  <si>
    <t>0.617±0.009</t>
  </si>
  <si>
    <t>0.592±0.008</t>
  </si>
  <si>
    <t>0.209±0.021</t>
  </si>
  <si>
    <t>0.819±0.012</t>
  </si>
  <si>
    <t>0.624±0.007</t>
  </si>
  <si>
    <t>0.619±0.013</t>
  </si>
  <si>
    <t>0.458±0.028</t>
  </si>
  <si>
    <t>0.334±0.018</t>
  </si>
  <si>
    <t>0.768±0.003</t>
  </si>
  <si>
    <t>0.671±0.007</t>
  </si>
  <si>
    <t>0.677±0.016</t>
  </si>
  <si>
    <t>0.514±0.012</t>
  </si>
  <si>
    <t>0.434±0.023</t>
  </si>
  <si>
    <t>0.788±0.003</t>
  </si>
  <si>
    <t>0.653±0.013</t>
  </si>
  <si>
    <t>0.642±0.017</t>
  </si>
  <si>
    <t>0.459±0.037</t>
  </si>
  <si>
    <t>0.277±0.014</t>
  </si>
  <si>
    <t>0.843±0.009</t>
  </si>
  <si>
    <t>0.644±0.01</t>
  </si>
  <si>
    <t>0.612±0.011</t>
  </si>
  <si>
    <t>0.439±0.042</t>
  </si>
  <si>
    <t>0.392±0.026</t>
  </si>
  <si>
    <t>0.771±0.005</t>
  </si>
  <si>
    <t>0.664±0.003</t>
  </si>
  <si>
    <t>0.656±0.016</t>
  </si>
  <si>
    <t>0.805±0.005</t>
  </si>
  <si>
    <t>0.624±0.014</t>
    <phoneticPr fontId="2" type="noConversion"/>
  </si>
  <si>
    <t>0.421±0.026</t>
    <phoneticPr fontId="2" type="noConversion"/>
  </si>
  <si>
    <t>AUC</t>
  </si>
  <si>
    <t>Features/Metrics</t>
  </si>
  <si>
    <t xml:space="preserve">Acuraccy </t>
  </si>
  <si>
    <t>Precision</t>
  </si>
  <si>
    <t>Recall</t>
  </si>
  <si>
    <t>Specificity</t>
  </si>
  <si>
    <t>Gene</t>
  </si>
  <si>
    <t>Gene_Cer</t>
  </si>
  <si>
    <t>Gene_Acy</t>
  </si>
  <si>
    <t>Gene_Sph</t>
  </si>
  <si>
    <t>Gene_Acy_Cer</t>
  </si>
  <si>
    <t>Gene_Sph_Cer</t>
  </si>
  <si>
    <t>Gene_Sph_Acy</t>
  </si>
  <si>
    <t>Gene_Cer_Acy_Sph</t>
  </si>
  <si>
    <t>Our dataset</t>
  </si>
  <si>
    <t>Baseline full Dataset</t>
  </si>
  <si>
    <t>Our_features ( lip+gene)+our_process</t>
  </si>
  <si>
    <t>Baseline_3_lip_features (only lip)</t>
  </si>
  <si>
    <t>Baseline_3_lip_features+our_process</t>
  </si>
  <si>
    <t>x</t>
  </si>
  <si>
    <t>Test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</si>
</sst>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3"/>
      <charset val="134"/>
      <scheme val="minor"/>
    </font>
    <font>
      <b/>
      <sz val="16"/>
      <color theme="0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3"/>
      <charset val="134"/>
      <scheme val="minor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F16CC-53B4-4BC9-8CAE-EE7C9B9130E1}" name="表1" displayName="表1" ref="A1:F16" totalsRowShown="0" headerRowDxfId="1">
  <autoFilter ref="A1:F16" xr:uid="{51DF16CC-53B4-4BC9-8CAE-EE7C9B9130E1}"/>
  <tableColumns count="6">
    <tableColumn id="1" xr3:uid="{269AC611-B5A2-4675-A3B9-A9D6F55F2157}" name="列1" dataDxfId="0"/>
    <tableColumn id="2" xr3:uid="{D97248AF-E7C5-4642-B06B-AF838268CB0D}" name="accuracy">
      <calculatedColumnFormula>ROUND(mean!B2,3)&amp;"±"&amp;ROUND(std!B2*0.5,3)</calculatedColumnFormula>
    </tableColumn>
    <tableColumn id="3" xr3:uid="{088F9632-7E34-4AE1-A001-16E8A77B6DBD}" name="auc">
      <calculatedColumnFormula>ROUND(mean!C2,3)&amp;"±"&amp;ROUND(std!C2*0.5,3)</calculatedColumnFormula>
    </tableColumn>
    <tableColumn id="4" xr3:uid="{1C19B4B3-7F11-40AD-8C39-82393CDD5FAD}" name="precision">
      <calculatedColumnFormula>ROUND(mean!D2,3)&amp;"±"&amp;ROUND(std!D2*0.5,3)</calculatedColumnFormula>
    </tableColumn>
    <tableColumn id="5" xr3:uid="{32C7BE60-AA07-4ECD-8024-CCA574582044}" name="recall">
      <calculatedColumnFormula>ROUND(mean!E2,3)&amp;"±"&amp;ROUND(std!E2*0.5,3)</calculatedColumnFormula>
    </tableColumn>
    <tableColumn id="6" xr3:uid="{817560A9-9827-4C19-8232-5276D1875D07}" name="specificity">
      <calculatedColumnFormula>ROUND(mean!F2,3)&amp;"±"&amp;ROUND(std!F2*0.5,3)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B1" sqref="B1:G1"/>
    </sheetView>
  </sheetViews>
  <sheetFormatPr defaultRowHeight="14.5"/>
  <cols>
    <col min="1" max="1" width="13.45312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0.72532019704433504</v>
      </c>
      <c r="C2">
        <v>0.57403963595220819</v>
      </c>
      <c r="D2">
        <v>0.77333333333333321</v>
      </c>
      <c r="E2">
        <v>0.2467391497391497</v>
      </c>
      <c r="F2">
        <v>0.96828282828282841</v>
      </c>
      <c r="G2">
        <v>0.718982637008724</v>
      </c>
    </row>
    <row r="3" spans="1:7">
      <c r="A3" s="1" t="s">
        <v>7</v>
      </c>
      <c r="B3">
        <v>0.60960591133004927</v>
      </c>
      <c r="C3">
        <v>0.57171487118047892</v>
      </c>
      <c r="D3">
        <v>0.40641391941391952</v>
      </c>
      <c r="E3">
        <v>0.33979287379287382</v>
      </c>
      <c r="F3">
        <v>0.74813996531280158</v>
      </c>
      <c r="G3">
        <v>0.69269880190154787</v>
      </c>
    </row>
    <row r="4" spans="1:7">
      <c r="A4" s="1" t="s">
        <v>8</v>
      </c>
      <c r="B4">
        <v>0.63068965517241382</v>
      </c>
      <c r="C4">
        <v>0.54947815324622429</v>
      </c>
      <c r="D4">
        <v>0.35866666666666658</v>
      </c>
      <c r="E4">
        <v>0.1355030525030525</v>
      </c>
      <c r="F4">
        <v>0.88148470513647514</v>
      </c>
      <c r="G4">
        <v>0.67202920005198852</v>
      </c>
    </row>
    <row r="5" spans="1:7">
      <c r="A5" s="1" t="s">
        <v>9</v>
      </c>
      <c r="B5">
        <v>0.62931034482758619</v>
      </c>
      <c r="C5">
        <v>0.60638520991280442</v>
      </c>
      <c r="D5">
        <v>0.15466666666666659</v>
      </c>
      <c r="E5">
        <v>6.7539682539682538E-2</v>
      </c>
      <c r="F5">
        <v>0.91688076154114651</v>
      </c>
      <c r="G5">
        <v>0.6625411589687451</v>
      </c>
    </row>
    <row r="6" spans="1:7">
      <c r="A6" s="1" t="s">
        <v>10</v>
      </c>
      <c r="B6">
        <v>0.63896551724137929</v>
      </c>
      <c r="C6">
        <v>0.64747107843473439</v>
      </c>
      <c r="D6">
        <v>0.4598644688644688</v>
      </c>
      <c r="E6">
        <v>0.35513741813741823</v>
      </c>
      <c r="F6">
        <v>0.77989913247040721</v>
      </c>
      <c r="G6">
        <v>0.70556206126673215</v>
      </c>
    </row>
    <row r="7" spans="1:7">
      <c r="A7" s="1" t="s">
        <v>11</v>
      </c>
      <c r="B7">
        <v>0.67660098522167489</v>
      </c>
      <c r="C7">
        <v>0.60003515411167851</v>
      </c>
      <c r="D7">
        <v>0.57846031746031745</v>
      </c>
      <c r="E7">
        <v>0.26912498612498609</v>
      </c>
      <c r="F7">
        <v>0.88621059138585045</v>
      </c>
      <c r="G7">
        <v>0.70673804005977925</v>
      </c>
    </row>
    <row r="8" spans="1:7">
      <c r="A8" s="1" t="s">
        <v>12</v>
      </c>
      <c r="B8">
        <v>0.73221674876847298</v>
      </c>
      <c r="C8">
        <v>0.68397209421499361</v>
      </c>
      <c r="D8">
        <v>0.76933333333333331</v>
      </c>
      <c r="E8">
        <v>0.30963092463092462</v>
      </c>
      <c r="F8">
        <v>0.95244892534366221</v>
      </c>
      <c r="G8">
        <v>0.73260375856028026</v>
      </c>
    </row>
    <row r="9" spans="1:7">
      <c r="A9" s="1" t="s">
        <v>13</v>
      </c>
      <c r="B9">
        <v>0.6013793103448275</v>
      </c>
      <c r="C9">
        <v>0.56852477368132237</v>
      </c>
      <c r="D9">
        <v>0.38580164280164281</v>
      </c>
      <c r="E9">
        <v>0.31564857364857363</v>
      </c>
      <c r="F9">
        <v>0.74787971284484944</v>
      </c>
      <c r="G9">
        <v>0.68678333290575855</v>
      </c>
    </row>
    <row r="10" spans="1:7">
      <c r="A10" s="1" t="s">
        <v>14</v>
      </c>
      <c r="B10">
        <v>0.61945812807881762</v>
      </c>
      <c r="C10">
        <v>0.60529518621549849</v>
      </c>
      <c r="D10">
        <v>0.42702020202020202</v>
      </c>
      <c r="E10">
        <v>0.3903859473859474</v>
      </c>
      <c r="F10">
        <v>0.74043277592570911</v>
      </c>
      <c r="G10">
        <v>0.7071537595680818</v>
      </c>
    </row>
    <row r="11" spans="1:7">
      <c r="A11" s="1" t="s">
        <v>15</v>
      </c>
      <c r="B11">
        <v>0.61669950738916268</v>
      </c>
      <c r="C11">
        <v>0.59240065059751423</v>
      </c>
      <c r="D11">
        <v>0.34040692640692638</v>
      </c>
      <c r="E11">
        <v>0.20860583860583859</v>
      </c>
      <c r="F11">
        <v>0.81903611232996076</v>
      </c>
      <c r="G11">
        <v>0.67605801605801619</v>
      </c>
    </row>
    <row r="12" spans="1:7">
      <c r="A12" s="1" t="s">
        <v>16</v>
      </c>
      <c r="B12">
        <v>0.62364532019704444</v>
      </c>
      <c r="C12">
        <v>0.61934995240621826</v>
      </c>
      <c r="D12">
        <v>0.45789310689310692</v>
      </c>
      <c r="E12">
        <v>0.33419114219114221</v>
      </c>
      <c r="F12">
        <v>0.76788344067951009</v>
      </c>
      <c r="G12">
        <v>0.69419954035285836</v>
      </c>
    </row>
    <row r="13" spans="1:7">
      <c r="A13" s="1" t="s">
        <v>17</v>
      </c>
      <c r="B13">
        <v>0.67108374384236458</v>
      </c>
      <c r="C13">
        <v>0.67690523741674657</v>
      </c>
      <c r="D13">
        <v>0.51363902763902769</v>
      </c>
      <c r="E13">
        <v>0.43371151071151082</v>
      </c>
      <c r="F13">
        <v>0.78841021953473145</v>
      </c>
      <c r="G13">
        <v>0.73269565615581222</v>
      </c>
    </row>
    <row r="14" spans="1:7">
      <c r="A14" s="1" t="s">
        <v>18</v>
      </c>
      <c r="B14">
        <v>0.6528571428571428</v>
      </c>
      <c r="C14">
        <v>0.64242894987335686</v>
      </c>
      <c r="D14">
        <v>0.45898412698412688</v>
      </c>
      <c r="E14">
        <v>0.27698501498501499</v>
      </c>
      <c r="F14">
        <v>0.84319299041993889</v>
      </c>
      <c r="G14">
        <v>0.69969057962971015</v>
      </c>
    </row>
    <row r="15" spans="1:7">
      <c r="A15" s="1" t="s">
        <v>19</v>
      </c>
      <c r="B15">
        <v>0.6444827586206896</v>
      </c>
      <c r="C15">
        <v>0.61174034756616535</v>
      </c>
      <c r="D15">
        <v>0.43886802086802079</v>
      </c>
      <c r="E15">
        <v>0.39199234099234098</v>
      </c>
      <c r="F15">
        <v>0.77141775076301933</v>
      </c>
      <c r="G15">
        <v>0.71945679646776706</v>
      </c>
    </row>
    <row r="16" spans="1:7">
      <c r="A16" s="1" t="s">
        <v>20</v>
      </c>
      <c r="B16">
        <v>0.6640886699507389</v>
      </c>
      <c r="C16">
        <v>0.65583122956820628</v>
      </c>
      <c r="D16">
        <v>0.5238571428571428</v>
      </c>
      <c r="E16">
        <v>0.38110833610833622</v>
      </c>
      <c r="F16">
        <v>0.80497616998397725</v>
      </c>
      <c r="G16">
        <v>0.71975103406038909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1.042864239965987E-2</v>
      </c>
      <c r="C2">
        <v>6.2916354463174576E-2</v>
      </c>
      <c r="D2">
        <v>0.14220486005134361</v>
      </c>
      <c r="E2">
        <v>2.525859279475404E-2</v>
      </c>
      <c r="F2">
        <v>2.131944350971952E-2</v>
      </c>
      <c r="G2">
        <v>1.7458640299153349E-3</v>
      </c>
    </row>
    <row r="3" spans="1:7">
      <c r="A3" s="1" t="s">
        <v>7</v>
      </c>
      <c r="B3">
        <v>3.3688062919176323E-2</v>
      </c>
      <c r="C3">
        <v>1.6448138520001598E-2</v>
      </c>
      <c r="D3">
        <v>5.8035730577769763E-2</v>
      </c>
      <c r="E3">
        <v>5.9566357972156453E-2</v>
      </c>
      <c r="F3">
        <v>6.0254840501843758E-2</v>
      </c>
      <c r="G3">
        <v>1.7441922125035439E-2</v>
      </c>
    </row>
    <row r="4" spans="1:7">
      <c r="A4" s="1" t="s">
        <v>8</v>
      </c>
      <c r="B4">
        <v>1.363006207084669E-2</v>
      </c>
      <c r="C4">
        <v>1.158019513876608E-2</v>
      </c>
      <c r="D4">
        <v>4.3499680714026177E-2</v>
      </c>
      <c r="E4">
        <v>3.4594375080500402E-2</v>
      </c>
      <c r="F4">
        <v>2.6530606290725959E-2</v>
      </c>
      <c r="G4">
        <v>8.2926107185077643E-3</v>
      </c>
    </row>
    <row r="5" spans="1:7">
      <c r="A5" s="1" t="s">
        <v>9</v>
      </c>
      <c r="B5">
        <v>1.295388550965978E-2</v>
      </c>
      <c r="C5">
        <v>1.6375724207152921E-2</v>
      </c>
      <c r="D5">
        <v>3.8122609214655462E-2</v>
      </c>
      <c r="E5">
        <v>2.3624812617817931E-2</v>
      </c>
      <c r="F5">
        <v>2.6120796677423279E-2</v>
      </c>
      <c r="G5">
        <v>3.661396399988661E-3</v>
      </c>
    </row>
    <row r="6" spans="1:7">
      <c r="A6" s="1" t="s">
        <v>10</v>
      </c>
      <c r="B6">
        <v>1.8107552900849831E-2</v>
      </c>
      <c r="C6">
        <v>3.055932680772093E-2</v>
      </c>
      <c r="D6">
        <v>2.7706426464653839E-2</v>
      </c>
      <c r="E6">
        <v>4.6868759818263737E-2</v>
      </c>
      <c r="F6">
        <v>3.2921307837978218E-2</v>
      </c>
      <c r="G6">
        <v>1.2437912686660779E-2</v>
      </c>
    </row>
    <row r="7" spans="1:7">
      <c r="A7" s="1" t="s">
        <v>11</v>
      </c>
      <c r="B7">
        <v>2.618899625717144E-2</v>
      </c>
      <c r="C7">
        <v>5.0821494769939669E-2</v>
      </c>
      <c r="D7">
        <v>7.4437455251157469E-2</v>
      </c>
      <c r="E7">
        <v>2.3620486437323229E-2</v>
      </c>
      <c r="F7">
        <v>2.7746612153501521E-2</v>
      </c>
      <c r="G7">
        <v>1.238721160600708E-2</v>
      </c>
    </row>
    <row r="8" spans="1:7">
      <c r="A8" s="1" t="s">
        <v>12</v>
      </c>
      <c r="B8">
        <v>1.5754307637248791E-2</v>
      </c>
      <c r="C8">
        <v>2.172038274158291E-2</v>
      </c>
      <c r="D8">
        <v>4.9351348062191297E-2</v>
      </c>
      <c r="E8">
        <v>2.0913813537428001E-2</v>
      </c>
      <c r="F8">
        <v>1.5929992387482869E-2</v>
      </c>
      <c r="G8">
        <v>6.5064566156416833E-3</v>
      </c>
    </row>
    <row r="9" spans="1:7">
      <c r="A9" s="1" t="s">
        <v>13</v>
      </c>
      <c r="B9">
        <v>7.4700011563152849E-3</v>
      </c>
      <c r="C9">
        <v>1.4434768716707369E-2</v>
      </c>
      <c r="D9">
        <v>1.377202467624072E-2</v>
      </c>
      <c r="E9">
        <v>4.5121355099331358E-2</v>
      </c>
      <c r="F9">
        <v>1.165535775065865E-2</v>
      </c>
      <c r="G9">
        <v>1.0418267662249439E-2</v>
      </c>
    </row>
    <row r="10" spans="1:7">
      <c r="A10" s="1" t="s">
        <v>14</v>
      </c>
      <c r="B10">
        <v>2.3477958610428621E-2</v>
      </c>
      <c r="C10">
        <v>2.2180823744349359E-2</v>
      </c>
      <c r="D10">
        <v>4.2978193740179797E-2</v>
      </c>
      <c r="E10">
        <v>4.8725611108821433E-2</v>
      </c>
      <c r="F10">
        <v>3.3900798930335298E-2</v>
      </c>
      <c r="G10">
        <v>1.688047169587633E-2</v>
      </c>
    </row>
    <row r="11" spans="1:7">
      <c r="A11" s="1" t="s">
        <v>15</v>
      </c>
      <c r="B11">
        <v>1.8407437353119019E-2</v>
      </c>
      <c r="C11">
        <v>1.5075856170821E-2</v>
      </c>
      <c r="D11">
        <v>5.9095979992685531E-2</v>
      </c>
      <c r="E11">
        <v>4.2453635233458943E-2</v>
      </c>
      <c r="F11">
        <v>2.434478829753485E-2</v>
      </c>
      <c r="G11">
        <v>1.3908050846393899E-2</v>
      </c>
    </row>
    <row r="12" spans="1:7">
      <c r="A12" s="1" t="s">
        <v>16</v>
      </c>
      <c r="B12">
        <v>1.440097042682849E-2</v>
      </c>
      <c r="C12">
        <v>2.6367902374731009E-2</v>
      </c>
      <c r="D12">
        <v>5.6431414999074808E-2</v>
      </c>
      <c r="E12">
        <v>3.522818019166031E-2</v>
      </c>
      <c r="F12">
        <v>6.4615732244913378E-3</v>
      </c>
      <c r="G12">
        <v>1.1402525087839571E-2</v>
      </c>
    </row>
    <row r="13" spans="1:7">
      <c r="A13" s="1" t="s">
        <v>17</v>
      </c>
      <c r="B13">
        <v>1.349474999094321E-2</v>
      </c>
      <c r="C13">
        <v>3.2063525930160319E-2</v>
      </c>
      <c r="D13">
        <v>2.4140183427126431E-2</v>
      </c>
      <c r="E13">
        <v>4.6455008097120602E-2</v>
      </c>
      <c r="F13">
        <v>5.8788453842228182E-3</v>
      </c>
      <c r="G13">
        <v>1.731775704586444E-2</v>
      </c>
    </row>
    <row r="14" spans="1:7">
      <c r="A14" s="1" t="s">
        <v>18</v>
      </c>
      <c r="B14">
        <v>2.6104656301850122E-2</v>
      </c>
      <c r="C14">
        <v>3.4533396205161583E-2</v>
      </c>
      <c r="D14">
        <v>7.493075244437071E-2</v>
      </c>
      <c r="E14">
        <v>2.8363701704403201E-2</v>
      </c>
      <c r="F14">
        <v>1.7682782481198631E-2</v>
      </c>
      <c r="G14">
        <v>1.2477150616900931E-2</v>
      </c>
    </row>
    <row r="15" spans="1:7">
      <c r="A15" s="1" t="s">
        <v>19</v>
      </c>
      <c r="B15">
        <v>2.0745730951552761E-2</v>
      </c>
      <c r="C15">
        <v>2.2839812184753571E-2</v>
      </c>
      <c r="D15">
        <v>8.4496187982901053E-2</v>
      </c>
      <c r="E15">
        <v>5.2798873487545847E-2</v>
      </c>
      <c r="F15">
        <v>1.036823492916771E-2</v>
      </c>
      <c r="G15">
        <v>1.1802918468070441E-2</v>
      </c>
    </row>
    <row r="16" spans="1:7">
      <c r="A16" s="1" t="s">
        <v>20</v>
      </c>
      <c r="B16">
        <v>6.3764091773078867E-3</v>
      </c>
      <c r="C16">
        <v>3.1289521655082399E-2</v>
      </c>
      <c r="D16">
        <v>2.757514527498011E-2</v>
      </c>
      <c r="E16">
        <v>5.1089232842554143E-2</v>
      </c>
      <c r="F16">
        <v>1.002944514024706E-2</v>
      </c>
      <c r="G16">
        <v>1.111125046039114E-2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E532-1C75-4AA3-8570-AC9F0C125D42}">
  <dimension ref="A1:M39"/>
  <sheetViews>
    <sheetView tabSelected="1" topLeftCell="A16" workbookViewId="0">
      <selection activeCell="K24" sqref="K24"/>
    </sheetView>
  </sheetViews>
  <sheetFormatPr defaultRowHeight="14.5"/>
  <cols>
    <col min="2" max="2" width="24.7265625" customWidth="1"/>
    <col min="3" max="3" width="19.7265625" customWidth="1"/>
    <col min="4" max="4" width="18.36328125" customWidth="1"/>
    <col min="5" max="5" width="20.7265625" customWidth="1"/>
    <col min="6" max="6" width="18.6328125" customWidth="1"/>
    <col min="7" max="7" width="18.36328125" customWidth="1"/>
    <col min="11" max="11" width="38.26953125" customWidth="1"/>
    <col min="12" max="12" width="14.90625" customWidth="1"/>
    <col min="13" max="13" width="19.08984375" customWidth="1"/>
  </cols>
  <sheetData>
    <row r="1" spans="1:7">
      <c r="A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>
      <c r="A2" s="1" t="s">
        <v>6</v>
      </c>
      <c r="B2" t="str">
        <f>ROUND(mean!B2,3)&amp;"±"&amp;ROUND(std!B2*0.5,3)</f>
        <v>0.725±0.005</v>
      </c>
      <c r="C2" t="str">
        <f>ROUND(mean!C2,3)&amp;"±"&amp;ROUND(std!C2*0.5,3)</f>
        <v>0.574±0.031</v>
      </c>
      <c r="D2" t="str">
        <f>ROUND(mean!D2,3)&amp;"±"&amp;ROUND(std!D2*0.5,3)</f>
        <v>0.773±0.071</v>
      </c>
      <c r="E2" t="str">
        <f>ROUND(mean!E2,3)&amp;"±"&amp;ROUND(std!E2*0.5,3)</f>
        <v>0.247±0.013</v>
      </c>
      <c r="F2" t="str">
        <f>ROUND(mean!F2,3)&amp;"±"&amp;ROUND(std!F2*0.5,3)</f>
        <v>0.968±0.011</v>
      </c>
    </row>
    <row r="3" spans="1:7">
      <c r="A3" s="1" t="s">
        <v>7</v>
      </c>
      <c r="B3" t="str">
        <f>ROUND(mean!B3,3)&amp;"±"&amp;ROUND(std!B3*0.5,3)</f>
        <v>0.61±0.017</v>
      </c>
      <c r="C3" t="str">
        <f>ROUND(mean!C3,3)&amp;"±"&amp;ROUND(std!C3*0.5,3)</f>
        <v>0.572±0.008</v>
      </c>
      <c r="D3" t="str">
        <f>ROUND(mean!D3,3)&amp;"±"&amp;ROUND(std!D3*0.5,3)</f>
        <v>0.406±0.029</v>
      </c>
      <c r="E3" t="str">
        <f>ROUND(mean!E3,3)&amp;"±"&amp;ROUND(std!E3*0.5,3)</f>
        <v>0.34±0.03</v>
      </c>
      <c r="F3" t="str">
        <f>ROUND(mean!F3,3)&amp;"±"&amp;ROUND(std!F3*0.5,3)</f>
        <v>0.748±0.03</v>
      </c>
    </row>
    <row r="4" spans="1:7">
      <c r="A4" s="1" t="s">
        <v>8</v>
      </c>
      <c r="B4" t="str">
        <f>ROUND(mean!B4,3)&amp;"±"&amp;ROUND(std!B4*0.5,3)</f>
        <v>0.631±0.007</v>
      </c>
      <c r="C4" t="str">
        <f>ROUND(mean!C4,3)&amp;"±"&amp;ROUND(std!C4*0.5,3)</f>
        <v>0.549±0.006</v>
      </c>
      <c r="D4" t="str">
        <f>ROUND(mean!D4,3)&amp;"±"&amp;ROUND(std!D4*0.5,3)</f>
        <v>0.359±0.022</v>
      </c>
      <c r="E4" t="str">
        <f>ROUND(mean!E4,3)&amp;"±"&amp;ROUND(std!E4*0.5,3)</f>
        <v>0.136±0.017</v>
      </c>
      <c r="F4" t="str">
        <f>ROUND(mean!F4,3)&amp;"±"&amp;ROUND(std!F4*0.5,3)</f>
        <v>0.881±0.013</v>
      </c>
    </row>
    <row r="5" spans="1:7">
      <c r="A5" s="1" t="s">
        <v>9</v>
      </c>
      <c r="B5" t="str">
        <f>ROUND(mean!B5,3)&amp;"±"&amp;ROUND(std!B5*0.5,3)</f>
        <v>0.629±0.006</v>
      </c>
      <c r="C5" t="str">
        <f>ROUND(mean!C5,3)&amp;"±"&amp;ROUND(std!C5*0.5,3)</f>
        <v>0.606±0.008</v>
      </c>
      <c r="D5" t="str">
        <f>ROUND(mean!D5,3)&amp;"±"&amp;ROUND(std!D5*0.5,3)</f>
        <v>0.155±0.019</v>
      </c>
      <c r="E5" t="str">
        <f>ROUND(mean!E5,3)&amp;"±"&amp;ROUND(std!E5*0.5,3)</f>
        <v>0.068±0.012</v>
      </c>
      <c r="F5" t="str">
        <f>ROUND(mean!F5,3)&amp;"±"&amp;ROUND(std!F5*0.5,3)</f>
        <v>0.917±0.013</v>
      </c>
    </row>
    <row r="6" spans="1:7">
      <c r="A6" s="1" t="s">
        <v>10</v>
      </c>
      <c r="B6" t="str">
        <f>ROUND(mean!B6,3)&amp;"±"&amp;ROUND(std!B6*0.5,3)</f>
        <v>0.639±0.009</v>
      </c>
      <c r="C6" t="str">
        <f>ROUND(mean!C6,3)&amp;"±"&amp;ROUND(std!C6*0.5,3)</f>
        <v>0.647±0.015</v>
      </c>
      <c r="D6" t="str">
        <f>ROUND(mean!D6,3)&amp;"±"&amp;ROUND(std!D6*0.5,3)</f>
        <v>0.46±0.014</v>
      </c>
      <c r="E6" t="str">
        <f>ROUND(mean!E6,3)&amp;"±"&amp;ROUND(std!E6*0.5,3)</f>
        <v>0.355±0.023</v>
      </c>
      <c r="F6" t="str">
        <f>ROUND(mean!F6,3)&amp;"±"&amp;ROUND(std!F6*0.5,3)</f>
        <v>0.78±0.016</v>
      </c>
    </row>
    <row r="7" spans="1:7">
      <c r="A7" s="1" t="s">
        <v>11</v>
      </c>
      <c r="B7" t="str">
        <f>ROUND(mean!B7,3)&amp;"±"&amp;ROUND(std!B7*0.5,3)</f>
        <v>0.677±0.013</v>
      </c>
      <c r="C7" t="str">
        <f>ROUND(mean!C7,3)&amp;"±"&amp;ROUND(std!C7*0.5,3)</f>
        <v>0.6±0.025</v>
      </c>
      <c r="D7" t="str">
        <f>ROUND(mean!D7,3)&amp;"±"&amp;ROUND(std!D7*0.5,3)</f>
        <v>0.578±0.037</v>
      </c>
      <c r="E7" t="str">
        <f>ROUND(mean!E7,3)&amp;"±"&amp;ROUND(std!E7*0.5,3)</f>
        <v>0.269±0.012</v>
      </c>
      <c r="F7" t="str">
        <f>ROUND(mean!F7,3)&amp;"±"&amp;ROUND(std!F7*0.5,3)</f>
        <v>0.886±0.014</v>
      </c>
    </row>
    <row r="8" spans="1:7">
      <c r="A8" s="1" t="s">
        <v>12</v>
      </c>
      <c r="B8" t="str">
        <f>ROUND(mean!B8,3)&amp;"±"&amp;ROUND(std!B8*0.5,3)</f>
        <v>0.732±0.008</v>
      </c>
      <c r="C8" t="str">
        <f>ROUND(mean!C8,3)&amp;"±"&amp;ROUND(std!C8*0.5,3)</f>
        <v>0.684±0.011</v>
      </c>
      <c r="D8" t="str">
        <f>ROUND(mean!D8,3)&amp;"±"&amp;ROUND(std!D8*0.5,3)</f>
        <v>0.769±0.025</v>
      </c>
      <c r="E8" t="str">
        <f>ROUND(mean!E8,3)&amp;"±"&amp;ROUND(std!E8*0.5,3)</f>
        <v>0.31±0.01</v>
      </c>
      <c r="F8" t="str">
        <f>ROUND(mean!F8,3)&amp;"±"&amp;ROUND(std!F8*0.5,3)</f>
        <v>0.952±0.008</v>
      </c>
    </row>
    <row r="9" spans="1:7">
      <c r="A9" s="1" t="s">
        <v>13</v>
      </c>
      <c r="B9" t="str">
        <f>ROUND(mean!B9,3)&amp;"±"&amp;ROUND(std!B9*0.5,3)</f>
        <v>0.601±0.004</v>
      </c>
      <c r="C9" t="str">
        <f>ROUND(mean!C9,3)&amp;"±"&amp;ROUND(std!C9*0.5,3)</f>
        <v>0.569±0.007</v>
      </c>
      <c r="D9" t="str">
        <f>ROUND(mean!D9,3)&amp;"±"&amp;ROUND(std!D9*0.5,3)</f>
        <v>0.386±0.007</v>
      </c>
      <c r="E9" t="str">
        <f>ROUND(mean!E9,3)&amp;"±"&amp;ROUND(std!E9*0.5,3)</f>
        <v>0.316±0.023</v>
      </c>
      <c r="F9" t="str">
        <f>ROUND(mean!F9,3)&amp;"±"&amp;ROUND(std!F9*0.5,3)</f>
        <v>0.748±0.006</v>
      </c>
    </row>
    <row r="10" spans="1:7">
      <c r="A10" s="1" t="s">
        <v>14</v>
      </c>
      <c r="B10" t="str">
        <f>ROUND(mean!B10,3)&amp;"±"&amp;ROUND(std!B10*0.5,3)</f>
        <v>0.619±0.012</v>
      </c>
      <c r="C10" t="str">
        <f>ROUND(mean!C10,3)&amp;"±"&amp;ROUND(std!C10*0.5,3)</f>
        <v>0.605±0.011</v>
      </c>
      <c r="D10" t="str">
        <f>ROUND(mean!D10,3)&amp;"±"&amp;ROUND(std!D10*0.5,3)</f>
        <v>0.427±0.021</v>
      </c>
      <c r="E10" t="str">
        <f>ROUND(mean!E10,3)&amp;"±"&amp;ROUND(std!E10*0.5,3)</f>
        <v>0.39±0.024</v>
      </c>
      <c r="F10" t="str">
        <f>ROUND(mean!F10,3)&amp;"±"&amp;ROUND(std!F10*0.5,3)</f>
        <v>0.74±0.017</v>
      </c>
    </row>
    <row r="11" spans="1:7">
      <c r="A11" s="1" t="s">
        <v>15</v>
      </c>
      <c r="B11" t="str">
        <f>ROUND(mean!B11,3)&amp;"±"&amp;ROUND(std!B11*0.5,3)</f>
        <v>0.617±0.009</v>
      </c>
      <c r="C11" t="str">
        <f>ROUND(mean!C11,3)&amp;"±"&amp;ROUND(std!C11*0.5,3)</f>
        <v>0.592±0.008</v>
      </c>
      <c r="D11" t="str">
        <f>ROUND(mean!D11,3)&amp;"±"&amp;ROUND(std!D11*0.5,3)</f>
        <v>0.34±0.03</v>
      </c>
      <c r="E11" t="str">
        <f>ROUND(mean!E11,3)&amp;"±"&amp;ROUND(std!E11*0.5,3)</f>
        <v>0.209±0.021</v>
      </c>
      <c r="F11" t="str">
        <f>ROUND(mean!F11,3)&amp;"±"&amp;ROUND(std!F11*0.5,3)</f>
        <v>0.819±0.012</v>
      </c>
    </row>
    <row r="12" spans="1:7">
      <c r="A12" s="1" t="s">
        <v>16</v>
      </c>
      <c r="B12" t="str">
        <f>ROUND(mean!B12,3)&amp;"±"&amp;ROUND(std!B12*0.5,3)</f>
        <v>0.624±0.007</v>
      </c>
      <c r="C12" t="str">
        <f>ROUND(mean!C12,3)&amp;"±"&amp;ROUND(std!C12*0.5,3)</f>
        <v>0.619±0.013</v>
      </c>
      <c r="D12" t="str">
        <f>ROUND(mean!D12,3)&amp;"±"&amp;ROUND(std!D12*0.5,3)</f>
        <v>0.458±0.028</v>
      </c>
      <c r="E12" t="str">
        <f>ROUND(mean!E12,3)&amp;"±"&amp;ROUND(std!E12*0.5,3)</f>
        <v>0.334±0.018</v>
      </c>
      <c r="F12" t="str">
        <f>ROUND(mean!F12,3)&amp;"±"&amp;ROUND(std!F12*0.5,3)</f>
        <v>0.768±0.003</v>
      </c>
    </row>
    <row r="13" spans="1:7">
      <c r="A13" s="1" t="s">
        <v>17</v>
      </c>
      <c r="B13" t="str">
        <f>ROUND(mean!B13,3)&amp;"±"&amp;ROUND(std!B13*0.5,3)</f>
        <v>0.671±0.007</v>
      </c>
      <c r="C13" t="str">
        <f>ROUND(mean!C13,3)&amp;"±"&amp;ROUND(std!C13*0.5,3)</f>
        <v>0.677±0.016</v>
      </c>
      <c r="D13" t="str">
        <f>ROUND(mean!D13,3)&amp;"±"&amp;ROUND(std!D13*0.5,3)</f>
        <v>0.514±0.012</v>
      </c>
      <c r="E13" t="str">
        <f>ROUND(mean!E13,3)&amp;"±"&amp;ROUND(std!E13*0.5,3)</f>
        <v>0.434±0.023</v>
      </c>
      <c r="F13" t="str">
        <f>ROUND(mean!F13,3)&amp;"±"&amp;ROUND(std!F13*0.5,3)</f>
        <v>0.788±0.003</v>
      </c>
    </row>
    <row r="14" spans="1:7">
      <c r="A14" s="1" t="s">
        <v>18</v>
      </c>
      <c r="B14" t="str">
        <f>ROUND(mean!B14,3)&amp;"±"&amp;ROUND(std!B14*0.5,3)</f>
        <v>0.653±0.013</v>
      </c>
      <c r="C14" t="str">
        <f>ROUND(mean!C14,3)&amp;"±"&amp;ROUND(std!C14*0.5,3)</f>
        <v>0.642±0.017</v>
      </c>
      <c r="D14" t="str">
        <f>ROUND(mean!D14,3)&amp;"±"&amp;ROUND(std!D14*0.5,3)</f>
        <v>0.459±0.037</v>
      </c>
      <c r="E14" t="str">
        <f>ROUND(mean!E14,3)&amp;"±"&amp;ROUND(std!E14*0.5,3)</f>
        <v>0.277±0.014</v>
      </c>
      <c r="F14" t="str">
        <f>ROUND(mean!F14,3)&amp;"±"&amp;ROUND(std!F14*0.5,3)</f>
        <v>0.843±0.009</v>
      </c>
    </row>
    <row r="15" spans="1:7">
      <c r="A15" s="1" t="s">
        <v>19</v>
      </c>
      <c r="B15" t="str">
        <f>ROUND(mean!B15,3)&amp;"±"&amp;ROUND(std!B15*0.5,3)</f>
        <v>0.644±0.01</v>
      </c>
      <c r="C15" t="str">
        <f>ROUND(mean!C15,3)&amp;"±"&amp;ROUND(std!C15*0.5,3)</f>
        <v>0.612±0.011</v>
      </c>
      <c r="D15" t="str">
        <f>ROUND(mean!D15,3)&amp;"±"&amp;ROUND(std!D15*0.5,3)</f>
        <v>0.439±0.042</v>
      </c>
      <c r="E15" t="str">
        <f>ROUND(mean!E15,3)&amp;"±"&amp;ROUND(std!E15*0.5,3)</f>
        <v>0.392±0.026</v>
      </c>
      <c r="F15" t="str">
        <f>ROUND(mean!F15,3)&amp;"±"&amp;ROUND(std!F15*0.5,3)</f>
        <v>0.771±0.005</v>
      </c>
    </row>
    <row r="16" spans="1:7">
      <c r="A16" s="1" t="s">
        <v>20</v>
      </c>
      <c r="B16" t="str">
        <f>ROUND(mean!B16,3)&amp;"±"&amp;ROUND(std!B16*0.5,3)</f>
        <v>0.664±0.003</v>
      </c>
      <c r="C16" t="str">
        <f>ROUND(mean!C16,3)&amp;"±"&amp;ROUND(std!C16*0.5,3)</f>
        <v>0.656±0.016</v>
      </c>
      <c r="D16" t="str">
        <f>ROUND(mean!D16,3)&amp;"±"&amp;ROUND(std!D16*0.5,3)</f>
        <v>0.524±0.014</v>
      </c>
      <c r="E16" t="str">
        <f>ROUND(mean!E16,3)&amp;"±"&amp;ROUND(std!E16*0.5,3)</f>
        <v>0.381±0.026</v>
      </c>
      <c r="F16" t="str">
        <f>ROUND(mean!F16,3)&amp;"±"&amp;ROUND(std!F16*0.5,3)</f>
        <v>0.805±0.005</v>
      </c>
    </row>
    <row r="24" spans="2:13" ht="21">
      <c r="B24" s="5" t="s">
        <v>97</v>
      </c>
      <c r="C24" s="2" t="s">
        <v>96</v>
      </c>
      <c r="D24" s="2" t="s">
        <v>98</v>
      </c>
      <c r="E24" s="2" t="s">
        <v>99</v>
      </c>
      <c r="F24" s="2" t="s">
        <v>100</v>
      </c>
      <c r="G24" s="2" t="s">
        <v>101</v>
      </c>
    </row>
    <row r="25" spans="2:13" ht="21">
      <c r="B25" s="3" t="s">
        <v>102</v>
      </c>
      <c r="C25" s="6" t="s">
        <v>23</v>
      </c>
      <c r="D25" s="6" t="s">
        <v>22</v>
      </c>
      <c r="E25" s="6" t="s">
        <v>24</v>
      </c>
      <c r="F25" s="6" t="s">
        <v>25</v>
      </c>
      <c r="G25" s="6" t="s">
        <v>26</v>
      </c>
    </row>
    <row r="26" spans="2:13" ht="21">
      <c r="B26" s="4" t="s">
        <v>7</v>
      </c>
      <c r="C26" s="6" t="s">
        <v>28</v>
      </c>
      <c r="D26" s="6" t="s">
        <v>27</v>
      </c>
      <c r="E26" s="6" t="s">
        <v>29</v>
      </c>
      <c r="F26" s="6" t="s">
        <v>30</v>
      </c>
      <c r="G26" s="6" t="s">
        <v>31</v>
      </c>
    </row>
    <row r="27" spans="2:13" ht="21">
      <c r="B27" s="3" t="s">
        <v>8</v>
      </c>
      <c r="C27" s="6" t="s">
        <v>33</v>
      </c>
      <c r="D27" s="6" t="s">
        <v>32</v>
      </c>
      <c r="E27" s="6" t="s">
        <v>34</v>
      </c>
      <c r="F27" s="6" t="s">
        <v>35</v>
      </c>
      <c r="G27" s="6" t="s">
        <v>36</v>
      </c>
    </row>
    <row r="28" spans="2:13" ht="21">
      <c r="B28" s="4" t="s">
        <v>9</v>
      </c>
      <c r="C28" s="6" t="s">
        <v>38</v>
      </c>
      <c r="D28" s="6" t="s">
        <v>37</v>
      </c>
      <c r="E28" s="6" t="s">
        <v>39</v>
      </c>
      <c r="F28" s="6" t="s">
        <v>40</v>
      </c>
      <c r="G28" s="6" t="s">
        <v>41</v>
      </c>
    </row>
    <row r="29" spans="2:13" ht="21">
      <c r="B29" s="3" t="s">
        <v>103</v>
      </c>
      <c r="C29" s="6" t="s">
        <v>43</v>
      </c>
      <c r="D29" s="6" t="s">
        <v>42</v>
      </c>
      <c r="E29" s="6" t="s">
        <v>44</v>
      </c>
      <c r="F29" s="6" t="s">
        <v>45</v>
      </c>
      <c r="G29" s="6" t="s">
        <v>46</v>
      </c>
      <c r="K29" s="8" t="s">
        <v>116</v>
      </c>
      <c r="L29" s="8" t="s">
        <v>110</v>
      </c>
      <c r="M29" s="8" t="s">
        <v>111</v>
      </c>
    </row>
    <row r="30" spans="2:13" ht="21">
      <c r="B30" s="4" t="s">
        <v>104</v>
      </c>
      <c r="C30" s="6" t="s">
        <v>48</v>
      </c>
      <c r="D30" s="6" t="s">
        <v>47</v>
      </c>
      <c r="E30" s="6" t="s">
        <v>49</v>
      </c>
      <c r="F30" s="6" t="s">
        <v>50</v>
      </c>
      <c r="G30" s="6" t="s">
        <v>51</v>
      </c>
      <c r="K30" s="8" t="s">
        <v>113</v>
      </c>
      <c r="L30" s="8">
        <v>0.57999999999999996</v>
      </c>
      <c r="M30" s="8">
        <v>0.62</v>
      </c>
    </row>
    <row r="31" spans="2:13" ht="21">
      <c r="B31" s="3" t="s">
        <v>105</v>
      </c>
      <c r="C31" s="7" t="s">
        <v>53</v>
      </c>
      <c r="D31" s="7" t="s">
        <v>52</v>
      </c>
      <c r="E31" s="7" t="s">
        <v>54</v>
      </c>
      <c r="F31" s="7" t="s">
        <v>55</v>
      </c>
      <c r="G31" s="7" t="s">
        <v>56</v>
      </c>
      <c r="K31" s="8" t="s">
        <v>114</v>
      </c>
      <c r="L31" s="8">
        <v>0.56000000000000005</v>
      </c>
      <c r="M31" s="8" t="s">
        <v>115</v>
      </c>
    </row>
    <row r="32" spans="2:13" ht="21">
      <c r="B32" s="4" t="s">
        <v>13</v>
      </c>
      <c r="C32" s="6" t="s">
        <v>58</v>
      </c>
      <c r="D32" s="6" t="s">
        <v>57</v>
      </c>
      <c r="E32" s="6" t="s">
        <v>59</v>
      </c>
      <c r="F32" s="6" t="s">
        <v>60</v>
      </c>
      <c r="G32" s="6" t="s">
        <v>61</v>
      </c>
      <c r="K32" s="8" t="s">
        <v>112</v>
      </c>
      <c r="L32" s="8">
        <v>0.68</v>
      </c>
      <c r="M32" s="8" t="s">
        <v>115</v>
      </c>
    </row>
    <row r="33" spans="2:7" ht="21">
      <c r="B33" s="3" t="s">
        <v>14</v>
      </c>
      <c r="C33" s="6" t="s">
        <v>63</v>
      </c>
      <c r="D33" s="6" t="s">
        <v>62</v>
      </c>
      <c r="E33" s="6" t="s">
        <v>64</v>
      </c>
      <c r="F33" s="6" t="s">
        <v>65</v>
      </c>
      <c r="G33" s="6" t="s">
        <v>66</v>
      </c>
    </row>
    <row r="34" spans="2:7" ht="21">
      <c r="B34" s="4" t="s">
        <v>15</v>
      </c>
      <c r="C34" s="6" t="s">
        <v>68</v>
      </c>
      <c r="D34" s="6" t="s">
        <v>67</v>
      </c>
      <c r="E34" s="6" t="s">
        <v>30</v>
      </c>
      <c r="F34" s="6" t="s">
        <v>69</v>
      </c>
      <c r="G34" s="6" t="s">
        <v>70</v>
      </c>
    </row>
    <row r="35" spans="2:7" ht="21">
      <c r="B35" s="3" t="s">
        <v>106</v>
      </c>
      <c r="C35" s="6" t="s">
        <v>72</v>
      </c>
      <c r="D35" s="6" t="s">
        <v>71</v>
      </c>
      <c r="E35" s="6" t="s">
        <v>73</v>
      </c>
      <c r="F35" s="6" t="s">
        <v>74</v>
      </c>
      <c r="G35" s="6" t="s">
        <v>75</v>
      </c>
    </row>
    <row r="36" spans="2:7" ht="21">
      <c r="B36" s="4" t="s">
        <v>107</v>
      </c>
      <c r="C36" s="6" t="s">
        <v>77</v>
      </c>
      <c r="D36" s="6" t="s">
        <v>76</v>
      </c>
      <c r="E36" s="6" t="s">
        <v>78</v>
      </c>
      <c r="F36" s="6" t="s">
        <v>79</v>
      </c>
      <c r="G36" s="6" t="s">
        <v>80</v>
      </c>
    </row>
    <row r="37" spans="2:7" ht="21">
      <c r="B37" s="3" t="s">
        <v>108</v>
      </c>
      <c r="C37" s="6" t="s">
        <v>82</v>
      </c>
      <c r="D37" s="6" t="s">
        <v>81</v>
      </c>
      <c r="E37" s="6" t="s">
        <v>83</v>
      </c>
      <c r="F37" s="6" t="s">
        <v>84</v>
      </c>
      <c r="G37" s="6" t="s">
        <v>85</v>
      </c>
    </row>
    <row r="38" spans="2:7" ht="21">
      <c r="B38" s="4" t="s">
        <v>19</v>
      </c>
      <c r="C38" s="6" t="s">
        <v>87</v>
      </c>
      <c r="D38" s="6" t="s">
        <v>86</v>
      </c>
      <c r="E38" s="6" t="s">
        <v>88</v>
      </c>
      <c r="F38" s="6" t="s">
        <v>89</v>
      </c>
      <c r="G38" s="6" t="s">
        <v>90</v>
      </c>
    </row>
    <row r="39" spans="2:7" ht="21">
      <c r="B39" s="3" t="s">
        <v>109</v>
      </c>
      <c r="C39" s="6" t="s">
        <v>92</v>
      </c>
      <c r="D39" s="6" t="s">
        <v>91</v>
      </c>
      <c r="E39" s="6" t="s">
        <v>94</v>
      </c>
      <c r="F39" s="6" t="s">
        <v>95</v>
      </c>
      <c r="G39" s="6" t="s">
        <v>93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std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方轩固</cp:lastModifiedBy>
  <dcterms:created xsi:type="dcterms:W3CDTF">2022-09-02T04:57:09Z</dcterms:created>
  <dcterms:modified xsi:type="dcterms:W3CDTF">2022-12-06T22:02:34Z</dcterms:modified>
</cp:coreProperties>
</file>