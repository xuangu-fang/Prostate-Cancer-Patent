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2\"/>
    </mc:Choice>
  </mc:AlternateContent>
  <xr:revisionPtr revIDLastSave="0" documentId="13_ncr:1_{928A552D-101D-4914-A366-1156CC772782}" xr6:coauthVersionLast="47" xr6:coauthVersionMax="47" xr10:uidLastSave="{00000000-0000-0000-0000-000000000000}"/>
  <bookViews>
    <workbookView xWindow="-28920" yWindow="1830" windowWidth="29040" windowHeight="15840" activeTab="2" xr2:uid="{00000000-000D-0000-FFFF-FFFF00000000}"/>
  </bookViews>
  <sheets>
    <sheet name="mean" sheetId="1" r:id="rId1"/>
    <sheet name="std" sheetId="2" r:id="rId2"/>
    <sheet name="Sheet1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2" i="3"/>
  <c r="D2" i="3"/>
  <c r="E2" i="3"/>
  <c r="F2" i="3"/>
  <c r="B1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2" i="3"/>
</calcChain>
</file>

<file path=xl/sharedStrings.xml><?xml version="1.0" encoding="utf-8"?>
<sst xmlns="http://schemas.openxmlformats.org/spreadsheetml/2006/main" count="160" uniqueCount="110">
  <si>
    <t>accuracy</t>
  </si>
  <si>
    <t>auc</t>
  </si>
  <si>
    <t>precision</t>
  </si>
  <si>
    <t>recall</t>
  </si>
  <si>
    <t>specificity</t>
  </si>
  <si>
    <t>NPV</t>
  </si>
  <si>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</si>
  <si>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</si>
  <si>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</si>
  <si>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</si>
  <si>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</si>
  <si>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</si>
  <si>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</si>
  <si>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</si>
  <si>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</si>
  <si>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</si>
  <si>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</si>
  <si>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</si>
  <si>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</si>
  <si>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</si>
  <si>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</si>
  <si>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features/metrics</t>
  </si>
  <si>
    <t>0.685±0.002</t>
  </si>
  <si>
    <t>0.659±0.007</t>
  </si>
  <si>
    <t>0.593±0.004</t>
  </si>
  <si>
    <t>0.572±0.006</t>
  </si>
  <si>
    <t>0.32±0.027</t>
  </si>
  <si>
    <t>0.763±0.004</t>
  </si>
  <si>
    <t>0.623±0.002</t>
  </si>
  <si>
    <t>0.579±0.006</t>
  </si>
  <si>
    <t>0.531±0.023</t>
  </si>
  <si>
    <t>0.686±0.003</t>
  </si>
  <si>
    <t>0.687±0.002</t>
  </si>
  <si>
    <t>0.706±0.012</t>
  </si>
  <si>
    <t>0.67±0.011</t>
  </si>
  <si>
    <t>0.687±0.004</t>
  </si>
  <si>
    <t>0.598±0.008</t>
  </si>
  <si>
    <t>0.564±0.01</t>
  </si>
  <si>
    <t>0.687±0.001</t>
  </si>
  <si>
    <t>0.629±0.006</t>
  </si>
  <si>
    <t>0.688±0.002</t>
  </si>
  <si>
    <t>0.687±0.013</t>
  </si>
  <si>
    <t>0.35±0.02</t>
  </si>
  <si>
    <t>0.665±0.015</t>
  </si>
  <si>
    <t>0.336±0.029</t>
  </si>
  <si>
    <t>0.708±0.013</t>
  </si>
  <si>
    <t>0.596±0.009</t>
  </si>
  <si>
    <t>0.125±0.03</t>
  </si>
  <si>
    <t>0.322±0.027</t>
  </si>
  <si>
    <t>0.275±0.022</t>
  </si>
  <si>
    <t>AUC</t>
  </si>
  <si>
    <t>0.85±0.005</t>
  </si>
  <si>
    <t>0.256±0.009</t>
  </si>
  <si>
    <t xml:space="preserve">Cer is crucial </t>
  </si>
  <si>
    <t>0.416±0.018</t>
  </si>
  <si>
    <t>0.95±0.005</t>
  </si>
  <si>
    <t>0.656±0.002</t>
  </si>
  <si>
    <t>0.622±0.004</t>
  </si>
  <si>
    <t>0.635±0.004</t>
  </si>
  <si>
    <t>0.674±0.002</t>
  </si>
  <si>
    <t>0.263±0.018</t>
  </si>
  <si>
    <t>0.727±0.014</t>
  </si>
  <si>
    <t>0.684±0.015</t>
  </si>
  <si>
    <t>0.18±0.012</t>
  </si>
  <si>
    <t>0.363±0.015</t>
  </si>
  <si>
    <t>0.301±0.009</t>
  </si>
  <si>
    <t>0.195±0.011</t>
  </si>
  <si>
    <t>0.832±0.006</t>
  </si>
  <si>
    <t>0.926±0.006</t>
  </si>
  <si>
    <t>0.924±0.007</t>
  </si>
  <si>
    <t>0.072±0.003</t>
  </si>
  <si>
    <t>0.118±0.004</t>
  </si>
  <si>
    <t>0.145±0.015</t>
  </si>
  <si>
    <t>0.12±0.006</t>
  </si>
  <si>
    <t>0.092±0.008</t>
  </si>
  <si>
    <t>0.307±0.009</t>
  </si>
  <si>
    <t>0.237±0.009</t>
  </si>
  <si>
    <t>0.281±0.027</t>
  </si>
  <si>
    <t>0.764±0.004</t>
  </si>
  <si>
    <t>0.244±0.15</t>
  </si>
  <si>
    <t>0.114±0.011</t>
  </si>
  <si>
    <t>0.843±0.005</t>
  </si>
  <si>
    <t>0.725±0.004</t>
  </si>
  <si>
    <t>0.738±0.005</t>
  </si>
  <si>
    <t>0.316±0.012</t>
  </si>
  <si>
    <t>0.739±0.006</t>
  </si>
  <si>
    <t>0.272±0.011</t>
  </si>
  <si>
    <t>0.722±0.004</t>
  </si>
  <si>
    <t>0.366±0.012</t>
  </si>
  <si>
    <t>0.218±0.015</t>
  </si>
  <si>
    <t>0.813±0.005</t>
  </si>
  <si>
    <t>0.617±0.004</t>
  </si>
  <si>
    <t>0.291±0.027</t>
  </si>
  <si>
    <t>0.247±0.009</t>
  </si>
  <si>
    <t>0.732±0.004</t>
  </si>
  <si>
    <t>0.336±0.012</t>
  </si>
  <si>
    <t>0.701±0.012</t>
  </si>
  <si>
    <t xml:space="preserve">Acuraccy </t>
  </si>
  <si>
    <t>Precision</t>
  </si>
  <si>
    <t>Recall</t>
  </si>
  <si>
    <t>Specificity</t>
  </si>
  <si>
    <t>Features/Metrics</t>
  </si>
  <si>
    <t>Gene</t>
  </si>
  <si>
    <t>Gene_Cer</t>
  </si>
  <si>
    <t>Gene_Acy</t>
  </si>
  <si>
    <t>Gene_Sph</t>
  </si>
  <si>
    <t>Gene_Acy_Cer</t>
  </si>
  <si>
    <t>Gene_Sph_Cer</t>
  </si>
  <si>
    <t>Gene_Sph_Acy</t>
  </si>
  <si>
    <t>Gene_Cer_Acy_Sph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</si>
</sst>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D197F-AF61-4F71-B8A3-9F872BFF8873}" name="表1" displayName="表1" ref="A1:F16" totalsRowShown="0" headerRowDxfId="1">
  <autoFilter ref="A1:F16" xr:uid="{8BAD197F-AF61-4F71-B8A3-9F872BFF8873}"/>
  <tableColumns count="6">
    <tableColumn id="1" xr3:uid="{AD4BAD3C-DAD1-4BD8-B9BA-00DD958F5362}" name="features/metrics" dataDxfId="0"/>
    <tableColumn id="2" xr3:uid="{57F2263B-14A6-4408-8449-735DED91FE65}" name="accuracy">
      <calculatedColumnFormula>ROUND(mean!B2,3)&amp;"±"&amp;ROUND(std!B2*0.5,3)</calculatedColumnFormula>
    </tableColumn>
    <tableColumn id="3" xr3:uid="{55A764BD-5319-4091-805C-A81F4FCA1EBE}" name="auc">
      <calculatedColumnFormula>ROUND(mean!C2,3)&amp;"±"&amp;ROUND(std!C2*0.5,3)</calculatedColumnFormula>
    </tableColumn>
    <tableColumn id="4" xr3:uid="{E22C10A2-4099-46ED-8986-901D97D642BE}" name="precision">
      <calculatedColumnFormula>ROUND(mean!D2,3)&amp;"±"&amp;ROUND(std!D2*0.5,3)</calculatedColumnFormula>
    </tableColumn>
    <tableColumn id="5" xr3:uid="{1A6705D8-4C53-4824-8A86-184CCB033174}" name="recall">
      <calculatedColumnFormula>ROUND(mean!E2,3)&amp;"±"&amp;ROUND(std!E2*0.5,3)</calculatedColumnFormula>
    </tableColumn>
    <tableColumn id="6" xr3:uid="{9E39D04E-3AD2-4C5A-8864-E455E3E1C99E}" name="specificity">
      <calculatedColumnFormula>ROUND(mean!F2,3)&amp;"±"&amp;ROUND(std!F2*0.5,3)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B1" sqref="B1:G1"/>
    </sheetView>
  </sheetViews>
  <sheetFormatPr defaultRowHeight="14.5" x14ac:dyDescent="0.35"/>
  <cols>
    <col min="1" max="1" width="15.81640625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0.68504433497536898</v>
      </c>
      <c r="C2">
        <v>0.65886293982262478</v>
      </c>
      <c r="D2">
        <v>0</v>
      </c>
      <c r="E2">
        <v>0</v>
      </c>
      <c r="F2">
        <v>1</v>
      </c>
      <c r="G2">
        <v>0.68704433497536943</v>
      </c>
    </row>
    <row r="3" spans="1:7" x14ac:dyDescent="0.35">
      <c r="A3" s="1" t="s">
        <v>7</v>
      </c>
      <c r="B3">
        <v>0.59299999999999997</v>
      </c>
      <c r="C3">
        <v>0.57154167142738954</v>
      </c>
      <c r="D3">
        <v>0.32</v>
      </c>
      <c r="E3">
        <v>0.23599999999999999</v>
      </c>
      <c r="F3">
        <v>0.76300000000000001</v>
      </c>
      <c r="G3">
        <v>0.69172568172568172</v>
      </c>
    </row>
    <row r="4" spans="1:7" x14ac:dyDescent="0.35">
      <c r="A4" s="1" t="s">
        <v>8</v>
      </c>
      <c r="B4">
        <v>0.623</v>
      </c>
      <c r="C4">
        <v>0.57858428465239597</v>
      </c>
      <c r="D4">
        <v>0.26</v>
      </c>
      <c r="E4">
        <v>0.12</v>
      </c>
      <c r="F4">
        <v>0.85</v>
      </c>
      <c r="G4">
        <v>0.68704433497536943</v>
      </c>
    </row>
    <row r="5" spans="1:7" x14ac:dyDescent="0.35">
      <c r="A5" s="1" t="s">
        <v>9</v>
      </c>
      <c r="B5">
        <v>0.68504433497536898</v>
      </c>
      <c r="C5">
        <v>0.5312070017746422</v>
      </c>
      <c r="D5">
        <v>0.38</v>
      </c>
      <c r="E5">
        <v>0.05</v>
      </c>
      <c r="F5">
        <v>0.95</v>
      </c>
      <c r="G5">
        <v>0.68704433497536943</v>
      </c>
    </row>
    <row r="6" spans="1:7" x14ac:dyDescent="0.35">
      <c r="A6" s="1" t="s">
        <v>10</v>
      </c>
      <c r="B6">
        <v>0.68566502463054202</v>
      </c>
      <c r="C6">
        <v>0.66433133405384037</v>
      </c>
      <c r="D6">
        <v>0.34266666666666662</v>
      </c>
      <c r="E6">
        <v>8.1494949494949481E-2</v>
      </c>
      <c r="F6">
        <v>0.96802167143814744</v>
      </c>
      <c r="G6">
        <v>0.69766206335171854</v>
      </c>
    </row>
    <row r="7" spans="1:7" x14ac:dyDescent="0.35">
      <c r="A7" s="1" t="s">
        <v>11</v>
      </c>
      <c r="B7">
        <v>0.68704433497536943</v>
      </c>
      <c r="C7">
        <v>0.706084285264996</v>
      </c>
      <c r="D7">
        <v>0</v>
      </c>
      <c r="E7">
        <v>0</v>
      </c>
      <c r="F7">
        <v>1</v>
      </c>
      <c r="G7">
        <v>0.68704433497536943</v>
      </c>
    </row>
    <row r="8" spans="1:7" x14ac:dyDescent="0.35">
      <c r="A8" s="1" t="s">
        <v>12</v>
      </c>
      <c r="B8">
        <v>0.68704433497536943</v>
      </c>
      <c r="C8">
        <v>0.67035715879968127</v>
      </c>
      <c r="D8">
        <v>0</v>
      </c>
      <c r="E8">
        <v>0</v>
      </c>
      <c r="F8">
        <v>1</v>
      </c>
      <c r="G8">
        <v>0.68704433497536943</v>
      </c>
    </row>
    <row r="9" spans="1:7" x14ac:dyDescent="0.35">
      <c r="A9" s="1" t="s">
        <v>13</v>
      </c>
      <c r="B9">
        <v>0.68704433497536943</v>
      </c>
      <c r="C9">
        <v>0.59823885748417971</v>
      </c>
      <c r="D9">
        <v>0.24</v>
      </c>
      <c r="E9">
        <v>3.7272727272727277E-2</v>
      </c>
      <c r="F9">
        <v>0.98434023464458242</v>
      </c>
      <c r="G9">
        <v>0.69172568172568172</v>
      </c>
    </row>
    <row r="10" spans="1:7" x14ac:dyDescent="0.35">
      <c r="A10" s="1" t="s">
        <v>14</v>
      </c>
      <c r="B10">
        <v>0.68704433497536943</v>
      </c>
      <c r="C10">
        <v>0.56350606576982931</v>
      </c>
      <c r="D10">
        <v>0.24</v>
      </c>
      <c r="E10">
        <v>3.7272727272727277E-2</v>
      </c>
      <c r="F10">
        <v>0.98434023464458242</v>
      </c>
      <c r="G10">
        <v>0.69172568172568172</v>
      </c>
    </row>
    <row r="11" spans="1:7" x14ac:dyDescent="0.35">
      <c r="A11" s="1" t="s">
        <v>15</v>
      </c>
      <c r="B11">
        <v>0.68704433497536943</v>
      </c>
      <c r="C11">
        <v>0.62853768707026203</v>
      </c>
      <c r="D11">
        <v>0</v>
      </c>
      <c r="E11">
        <v>0</v>
      </c>
      <c r="F11">
        <v>1</v>
      </c>
      <c r="G11">
        <v>0.68704433497536943</v>
      </c>
    </row>
    <row r="12" spans="1:7" x14ac:dyDescent="0.35">
      <c r="A12" s="1" t="s">
        <v>16</v>
      </c>
      <c r="B12">
        <v>0.68842364532019706</v>
      </c>
      <c r="C12">
        <v>0.6870265107605934</v>
      </c>
      <c r="D12">
        <v>0.34999999999999992</v>
      </c>
      <c r="E12">
        <v>8.6494949494949486E-2</v>
      </c>
      <c r="F12">
        <v>0.96968833810481403</v>
      </c>
      <c r="G12">
        <v>0.69909283258248778</v>
      </c>
    </row>
    <row r="13" spans="1:7" x14ac:dyDescent="0.35">
      <c r="A13" s="1" t="s">
        <v>17</v>
      </c>
      <c r="B13">
        <v>0.68428571428571427</v>
      </c>
      <c r="C13">
        <v>0.66469693763259519</v>
      </c>
      <c r="D13">
        <v>0.33599999999999991</v>
      </c>
      <c r="E13">
        <v>7.2050505050505059E-2</v>
      </c>
      <c r="F13">
        <v>0.96976080187293001</v>
      </c>
      <c r="G13">
        <v>0.69575982765637934</v>
      </c>
    </row>
    <row r="14" spans="1:7" x14ac:dyDescent="0.35">
      <c r="A14" s="1" t="s">
        <v>18</v>
      </c>
      <c r="B14">
        <v>0.68704433497536943</v>
      </c>
      <c r="C14">
        <v>0.70757939798046132</v>
      </c>
      <c r="D14">
        <v>0</v>
      </c>
      <c r="E14">
        <v>0</v>
      </c>
      <c r="F14">
        <v>1</v>
      </c>
      <c r="G14">
        <v>0.68704433497536943</v>
      </c>
    </row>
    <row r="15" spans="1:7" x14ac:dyDescent="0.35">
      <c r="A15" s="1" t="s">
        <v>19</v>
      </c>
      <c r="B15">
        <v>0.68704433497536943</v>
      </c>
      <c r="C15">
        <v>0.59622937475171955</v>
      </c>
      <c r="D15">
        <v>0.24</v>
      </c>
      <c r="E15">
        <v>3.7272727272727277E-2</v>
      </c>
      <c r="F15">
        <v>0.98434023464458242</v>
      </c>
      <c r="G15">
        <v>0.69172568172568172</v>
      </c>
    </row>
    <row r="16" spans="1:7" x14ac:dyDescent="0.35">
      <c r="A16" s="1" t="s">
        <v>20</v>
      </c>
      <c r="B16">
        <v>0.68980295566502459</v>
      </c>
      <c r="C16">
        <v>0.68667424578980651</v>
      </c>
      <c r="D16">
        <v>0.35999999999999988</v>
      </c>
      <c r="E16">
        <v>8.6494949494949486E-2</v>
      </c>
      <c r="F16">
        <v>0.97159310000957588</v>
      </c>
      <c r="G16">
        <v>0.69940052489018012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C19" sqref="C1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3.3045339568963101E-3</v>
      </c>
      <c r="C2">
        <v>1.371594460459667E-2</v>
      </c>
      <c r="D2">
        <v>0</v>
      </c>
      <c r="E2">
        <v>0</v>
      </c>
      <c r="F2">
        <v>0</v>
      </c>
      <c r="G2">
        <v>3.304533956896305E-4</v>
      </c>
    </row>
    <row r="3" spans="1:7" x14ac:dyDescent="0.35">
      <c r="A3" s="1" t="s">
        <v>7</v>
      </c>
      <c r="B3">
        <v>7.0865797265416862E-3</v>
      </c>
      <c r="C3">
        <v>1.2615713376967321E-2</v>
      </c>
      <c r="D3">
        <v>5.4772255750516599E-2</v>
      </c>
      <c r="E3">
        <v>1.7460108015153471E-2</v>
      </c>
      <c r="F3">
        <v>7.5621015272092319E-3</v>
      </c>
      <c r="G3">
        <v>2.6317646154321401E-3</v>
      </c>
    </row>
    <row r="4" spans="1:7" x14ac:dyDescent="0.35">
      <c r="A4" s="1" t="s">
        <v>8</v>
      </c>
      <c r="B4">
        <v>3.3045339568963101E-3</v>
      </c>
      <c r="C4">
        <v>1.2549882840420251E-2</v>
      </c>
      <c r="D4">
        <v>0</v>
      </c>
      <c r="E4">
        <v>0</v>
      </c>
      <c r="F4">
        <v>0</v>
      </c>
      <c r="G4">
        <v>3.304533956896305E-4</v>
      </c>
    </row>
    <row r="5" spans="1:7" x14ac:dyDescent="0.35">
      <c r="A5" s="1" t="s">
        <v>9</v>
      </c>
      <c r="B5">
        <v>3.3045339568963101E-3</v>
      </c>
      <c r="C5">
        <v>4.5577525004211708E-2</v>
      </c>
      <c r="D5">
        <v>0</v>
      </c>
      <c r="E5">
        <v>0</v>
      </c>
      <c r="F5">
        <v>0</v>
      </c>
      <c r="G5">
        <v>3.304533956896305E-4</v>
      </c>
    </row>
    <row r="6" spans="1:7" x14ac:dyDescent="0.35">
      <c r="A6" s="1" t="s">
        <v>10</v>
      </c>
      <c r="B6">
        <v>5.9532585276871096E-3</v>
      </c>
      <c r="C6">
        <v>2.9332089561855991E-2</v>
      </c>
      <c r="D6">
        <v>5.0464508980734797E-2</v>
      </c>
      <c r="E6">
        <v>1.749847312125688E-2</v>
      </c>
      <c r="F6">
        <v>1.097964965253832E-2</v>
      </c>
      <c r="G6">
        <v>1.2432564062251131E-3</v>
      </c>
    </row>
    <row r="7" spans="1:7" x14ac:dyDescent="0.35">
      <c r="A7" s="1" t="s">
        <v>11</v>
      </c>
      <c r="B7">
        <v>3.3045339568963101E-3</v>
      </c>
      <c r="C7">
        <v>2.3498001594538589E-2</v>
      </c>
      <c r="D7">
        <v>0</v>
      </c>
      <c r="E7">
        <v>0</v>
      </c>
      <c r="F7">
        <v>0</v>
      </c>
      <c r="G7">
        <v>3.304533956896305E-4</v>
      </c>
    </row>
    <row r="8" spans="1:7" x14ac:dyDescent="0.35">
      <c r="A8" s="1" t="s">
        <v>12</v>
      </c>
      <c r="B8">
        <v>3.3045339568963101E-3</v>
      </c>
      <c r="C8">
        <v>2.1293470850703169E-2</v>
      </c>
      <c r="D8">
        <v>0</v>
      </c>
      <c r="E8">
        <v>0</v>
      </c>
      <c r="F8">
        <v>0</v>
      </c>
      <c r="G8">
        <v>3.304533956896305E-4</v>
      </c>
    </row>
    <row r="9" spans="1:7" x14ac:dyDescent="0.35">
      <c r="A9" s="1" t="s">
        <v>13</v>
      </c>
      <c r="B9">
        <v>7.0865797265416862E-3</v>
      </c>
      <c r="C9">
        <v>1.577239172393605E-2</v>
      </c>
      <c r="D9">
        <v>5.4772255750516599E-2</v>
      </c>
      <c r="E9">
        <v>1.7460108015153471E-2</v>
      </c>
      <c r="F9">
        <v>7.5621015272092319E-3</v>
      </c>
      <c r="G9">
        <v>2.6317646154321401E-3</v>
      </c>
    </row>
    <row r="10" spans="1:7" x14ac:dyDescent="0.35">
      <c r="A10" s="1" t="s">
        <v>14</v>
      </c>
      <c r="B10">
        <v>7.0865797265416862E-3</v>
      </c>
      <c r="C10">
        <v>2.0356340518430278E-2</v>
      </c>
      <c r="D10">
        <v>5.4772255750516599E-2</v>
      </c>
      <c r="E10">
        <v>1.7460108015153471E-2</v>
      </c>
      <c r="F10">
        <v>7.5621015272092319E-3</v>
      </c>
      <c r="G10">
        <v>2.6317646154321401E-3</v>
      </c>
    </row>
    <row r="11" spans="1:7" x14ac:dyDescent="0.35">
      <c r="A11" s="1" t="s">
        <v>15</v>
      </c>
      <c r="B11">
        <v>2.3045339568963101E-3</v>
      </c>
      <c r="C11">
        <v>1.190454743511429E-2</v>
      </c>
      <c r="D11">
        <v>0</v>
      </c>
      <c r="E11">
        <v>0</v>
      </c>
      <c r="F11">
        <v>0</v>
      </c>
      <c r="G11">
        <v>3.304533956896305E-4</v>
      </c>
    </row>
    <row r="12" spans="1:7" x14ac:dyDescent="0.35">
      <c r="A12" s="1" t="s">
        <v>16</v>
      </c>
      <c r="B12">
        <v>3.1829674835763479E-3</v>
      </c>
      <c r="C12">
        <v>2.509024803326981E-2</v>
      </c>
      <c r="D12">
        <v>4.0824829046386277E-2</v>
      </c>
      <c r="E12">
        <v>2.44950952822903E-2</v>
      </c>
      <c r="F12">
        <v>1.1038627528928849E-2</v>
      </c>
      <c r="G12">
        <v>2.793370188569439E-3</v>
      </c>
    </row>
    <row r="13" spans="1:7" x14ac:dyDescent="0.35">
      <c r="A13" s="1" t="s">
        <v>17</v>
      </c>
      <c r="B13">
        <v>3.988322881357009E-3</v>
      </c>
      <c r="C13">
        <v>3.055936426510612E-2</v>
      </c>
      <c r="D13">
        <v>5.8991524815010472E-2</v>
      </c>
      <c r="E13">
        <v>2.224956994915072E-2</v>
      </c>
      <c r="F13">
        <v>7.9092156276326792E-3</v>
      </c>
      <c r="G13">
        <v>2.9121928535619768E-3</v>
      </c>
    </row>
    <row r="14" spans="1:7" x14ac:dyDescent="0.35">
      <c r="A14" s="1" t="s">
        <v>18</v>
      </c>
      <c r="B14">
        <v>3.304533956896305E-4</v>
      </c>
      <c r="C14">
        <v>2.6640138657921981E-2</v>
      </c>
      <c r="D14">
        <v>0</v>
      </c>
      <c r="E14">
        <v>0</v>
      </c>
      <c r="F14">
        <v>0</v>
      </c>
      <c r="G14">
        <v>3.304533956896305E-4</v>
      </c>
    </row>
    <row r="15" spans="1:7" x14ac:dyDescent="0.35">
      <c r="A15" s="1" t="s">
        <v>19</v>
      </c>
      <c r="B15">
        <v>7.0865797265416862E-3</v>
      </c>
      <c r="C15">
        <v>1.799954647873574E-2</v>
      </c>
      <c r="D15">
        <v>5.4772255750516599E-2</v>
      </c>
      <c r="E15">
        <v>1.7460108015153471E-2</v>
      </c>
      <c r="F15">
        <v>7.5621015272092319E-3</v>
      </c>
      <c r="G15">
        <v>2.6317646154321401E-3</v>
      </c>
    </row>
    <row r="16" spans="1:7" x14ac:dyDescent="0.35">
      <c r="A16" s="1" t="s">
        <v>20</v>
      </c>
      <c r="B16">
        <v>3.5845689974829589E-3</v>
      </c>
      <c r="C16">
        <v>2.80055645705845E-2</v>
      </c>
      <c r="D16">
        <v>3.6514837167011073E-2</v>
      </c>
      <c r="E16">
        <v>2.44950952822903E-2</v>
      </c>
      <c r="F16">
        <v>7.2091395120689721E-3</v>
      </c>
      <c r="G16">
        <v>3.3820154834625729E-3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C274-93A2-4CF6-9B13-5A4BF2CBB688}">
  <dimension ref="A1:J37"/>
  <sheetViews>
    <sheetView tabSelected="1" topLeftCell="A19" workbookViewId="0">
      <selection activeCell="A37" sqref="A37"/>
    </sheetView>
  </sheetViews>
  <sheetFormatPr defaultRowHeight="14.5" x14ac:dyDescent="0.35"/>
  <cols>
    <col min="1" max="1" width="26.1796875" customWidth="1"/>
    <col min="2" max="2" width="17.81640625" customWidth="1"/>
    <col min="3" max="3" width="18.54296875" customWidth="1"/>
    <col min="4" max="4" width="16.36328125" customWidth="1"/>
    <col min="5" max="5" width="18.54296875" customWidth="1"/>
    <col min="6" max="6" width="19.36328125" customWidth="1"/>
  </cols>
  <sheetData>
    <row r="1" spans="1:7" x14ac:dyDescent="0.35">
      <c r="A1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 x14ac:dyDescent="0.35">
      <c r="A2" s="1" t="s">
        <v>6</v>
      </c>
      <c r="B2" t="str">
        <f>ROUND(mean!B2,3)&amp;"±"&amp;ROUND(std!B2*0.5,3)</f>
        <v>0.685±0.002</v>
      </c>
      <c r="C2" t="str">
        <f>ROUND(mean!C2,3)&amp;"±"&amp;ROUND(std!C2*0.5,3)</f>
        <v>0.659±0.007</v>
      </c>
      <c r="D2" t="str">
        <f>ROUND(mean!D2,3)&amp;"±"&amp;ROUND(std!D2*0.5,3)</f>
        <v>0±0</v>
      </c>
      <c r="E2" t="str">
        <f>ROUND(mean!E2,3)&amp;"±"&amp;ROUND(std!E2*0.5,3)</f>
        <v>0±0</v>
      </c>
      <c r="F2" t="str">
        <f>ROUND(mean!F2,3)&amp;"±"&amp;ROUND(std!F2*0.5,3)</f>
        <v>1±0</v>
      </c>
    </row>
    <row r="3" spans="1:7" x14ac:dyDescent="0.35">
      <c r="A3" s="1" t="s">
        <v>7</v>
      </c>
      <c r="B3" t="str">
        <f>ROUND(mean!B3,3)&amp;"±"&amp;ROUND(std!B3*0.5,3)</f>
        <v>0.593±0.004</v>
      </c>
      <c r="C3" t="str">
        <f>ROUND(mean!C3,3)&amp;"±"&amp;ROUND(std!C3*0.5,3)</f>
        <v>0.572±0.006</v>
      </c>
      <c r="D3" t="str">
        <f>ROUND(mean!D3,3)&amp;"±"&amp;ROUND(std!D3*0.5,3)</f>
        <v>0.32±0.027</v>
      </c>
      <c r="E3" t="str">
        <f>ROUND(mean!E3,3)&amp;"±"&amp;ROUND(std!E3*0.5,3)</f>
        <v>0.236±0.009</v>
      </c>
      <c r="F3" t="str">
        <f>ROUND(mean!F3,3)&amp;"±"&amp;ROUND(std!F3*0.5,3)</f>
        <v>0.763±0.004</v>
      </c>
    </row>
    <row r="4" spans="1:7" x14ac:dyDescent="0.35">
      <c r="A4" s="1" t="s">
        <v>8</v>
      </c>
      <c r="B4" t="str">
        <f>ROUND(mean!B4,3)&amp;"±"&amp;ROUND(std!B4*0.5,3)</f>
        <v>0.623±0.002</v>
      </c>
      <c r="C4" t="str">
        <f>ROUND(mean!C4,3)&amp;"±"&amp;ROUND(std!C4*0.5,3)</f>
        <v>0.579±0.006</v>
      </c>
      <c r="D4" t="str">
        <f>ROUND(mean!D4,3)&amp;"±"&amp;ROUND(std!D4*0.5,3)</f>
        <v>0.26±0</v>
      </c>
      <c r="E4" t="str">
        <f>ROUND(mean!E4,3)&amp;"±"&amp;ROUND(std!E4*0.5,3)</f>
        <v>0.12±0</v>
      </c>
      <c r="F4" t="str">
        <f>ROUND(mean!F4,3)&amp;"±"&amp;ROUND(std!F4*0.5,3)</f>
        <v>0.85±0</v>
      </c>
    </row>
    <row r="5" spans="1:7" x14ac:dyDescent="0.35">
      <c r="A5" s="1" t="s">
        <v>9</v>
      </c>
      <c r="B5" t="str">
        <f>ROUND(mean!B5,3)&amp;"±"&amp;ROUND(std!B5*0.5,3)</f>
        <v>0.685±0.002</v>
      </c>
      <c r="C5" t="str">
        <f>ROUND(mean!C5,3)&amp;"±"&amp;ROUND(std!C5*0.5,3)</f>
        <v>0.531±0.023</v>
      </c>
      <c r="D5" t="str">
        <f>ROUND(mean!D5,3)&amp;"±"&amp;ROUND(std!D5*0.5,3)</f>
        <v>0.38±0</v>
      </c>
      <c r="E5" t="str">
        <f>ROUND(mean!E5,3)&amp;"±"&amp;ROUND(std!E5*0.5,3)</f>
        <v>0.05±0</v>
      </c>
      <c r="F5" t="str">
        <f>ROUND(mean!F5,3)&amp;"±"&amp;ROUND(std!F5*0.5,3)</f>
        <v>0.95±0</v>
      </c>
    </row>
    <row r="6" spans="1:7" x14ac:dyDescent="0.35">
      <c r="A6" s="1" t="s">
        <v>10</v>
      </c>
      <c r="B6" t="str">
        <f>ROUND(mean!B6,3)&amp;"±"&amp;ROUND(std!B6*0.5,3)</f>
        <v>0.686±0.003</v>
      </c>
      <c r="C6" t="str">
        <f>ROUND(mean!C6,3)&amp;"±"&amp;ROUND(std!C6*0.5,3)</f>
        <v>0.664±0.015</v>
      </c>
      <c r="D6" t="str">
        <f>ROUND(mean!D6,3)&amp;"±"&amp;ROUND(std!D6*0.5,3)</f>
        <v>0.343±0.025</v>
      </c>
      <c r="E6" t="str">
        <f>ROUND(mean!E6,3)&amp;"±"&amp;ROUND(std!E6*0.5,3)</f>
        <v>0.081±0.009</v>
      </c>
      <c r="F6" t="str">
        <f>ROUND(mean!F6,3)&amp;"±"&amp;ROUND(std!F6*0.5,3)</f>
        <v>0.968±0.005</v>
      </c>
    </row>
    <row r="7" spans="1:7" x14ac:dyDescent="0.35">
      <c r="A7" s="1" t="s">
        <v>11</v>
      </c>
      <c r="B7" t="str">
        <f>ROUND(mean!B7,3)&amp;"±"&amp;ROUND(std!B7*0.5,3)</f>
        <v>0.687±0.002</v>
      </c>
      <c r="C7" t="str">
        <f>ROUND(mean!C7,3)&amp;"±"&amp;ROUND(std!C7*0.5,3)</f>
        <v>0.706±0.012</v>
      </c>
      <c r="D7" t="str">
        <f>ROUND(mean!D7,3)&amp;"±"&amp;ROUND(std!D7*0.5,3)</f>
        <v>0±0</v>
      </c>
      <c r="E7" t="str">
        <f>ROUND(mean!E7,3)&amp;"±"&amp;ROUND(std!E7*0.5,3)</f>
        <v>0±0</v>
      </c>
      <c r="F7" t="str">
        <f>ROUND(mean!F7,3)&amp;"±"&amp;ROUND(std!F7*0.5,3)</f>
        <v>1±0</v>
      </c>
    </row>
    <row r="8" spans="1:7" x14ac:dyDescent="0.35">
      <c r="A8" s="1" t="s">
        <v>12</v>
      </c>
      <c r="B8" t="str">
        <f>ROUND(mean!B8,3)&amp;"±"&amp;ROUND(std!B8*0.5,3)</f>
        <v>0.687±0.002</v>
      </c>
      <c r="C8" t="str">
        <f>ROUND(mean!C8,3)&amp;"±"&amp;ROUND(std!C8*0.5,3)</f>
        <v>0.67±0.011</v>
      </c>
      <c r="D8" t="str">
        <f>ROUND(mean!D8,3)&amp;"±"&amp;ROUND(std!D8*0.5,3)</f>
        <v>0±0</v>
      </c>
      <c r="E8" t="str">
        <f>ROUND(mean!E8,3)&amp;"±"&amp;ROUND(std!E8*0.5,3)</f>
        <v>0±0</v>
      </c>
      <c r="F8" t="str">
        <f>ROUND(mean!F8,3)&amp;"±"&amp;ROUND(std!F8*0.5,3)</f>
        <v>1±0</v>
      </c>
    </row>
    <row r="9" spans="1:7" x14ac:dyDescent="0.35">
      <c r="A9" s="1" t="s">
        <v>13</v>
      </c>
      <c r="B9" t="str">
        <f>ROUND(mean!B9,3)&amp;"±"&amp;ROUND(std!B9*0.5,3)</f>
        <v>0.687±0.004</v>
      </c>
      <c r="C9" t="str">
        <f>ROUND(mean!C9,3)&amp;"±"&amp;ROUND(std!C9*0.5,3)</f>
        <v>0.598±0.008</v>
      </c>
      <c r="D9" t="str">
        <f>ROUND(mean!D9,3)&amp;"±"&amp;ROUND(std!D9*0.5,3)</f>
        <v>0.24±0.027</v>
      </c>
      <c r="E9" t="str">
        <f>ROUND(mean!E9,3)&amp;"±"&amp;ROUND(std!E9*0.5,3)</f>
        <v>0.037±0.009</v>
      </c>
      <c r="F9" t="str">
        <f>ROUND(mean!F9,3)&amp;"±"&amp;ROUND(std!F9*0.5,3)</f>
        <v>0.984±0.004</v>
      </c>
    </row>
    <row r="10" spans="1:7" x14ac:dyDescent="0.35">
      <c r="A10" s="1" t="s">
        <v>14</v>
      </c>
      <c r="B10" t="str">
        <f>ROUND(mean!B10,3)&amp;"±"&amp;ROUND(std!B10*0.5,3)</f>
        <v>0.687±0.004</v>
      </c>
      <c r="C10" t="str">
        <f>ROUND(mean!C10,3)&amp;"±"&amp;ROUND(std!C10*0.5,3)</f>
        <v>0.564±0.01</v>
      </c>
      <c r="D10" t="str">
        <f>ROUND(mean!D10,3)&amp;"±"&amp;ROUND(std!D10*0.5,3)</f>
        <v>0.24±0.027</v>
      </c>
      <c r="E10" t="str">
        <f>ROUND(mean!E10,3)&amp;"±"&amp;ROUND(std!E10*0.5,3)</f>
        <v>0.037±0.009</v>
      </c>
      <c r="F10" t="str">
        <f>ROUND(mean!F10,3)&amp;"±"&amp;ROUND(std!F10*0.5,3)</f>
        <v>0.984±0.004</v>
      </c>
    </row>
    <row r="11" spans="1:7" x14ac:dyDescent="0.35">
      <c r="A11" s="1" t="s">
        <v>15</v>
      </c>
      <c r="B11" t="str">
        <f>ROUND(mean!B11,3)&amp;"±"&amp;ROUND(std!B11*0.5,3)</f>
        <v>0.687±0.001</v>
      </c>
      <c r="C11" t="str">
        <f>ROUND(mean!C11,3)&amp;"±"&amp;ROUND(std!C11*0.5,3)</f>
        <v>0.629±0.006</v>
      </c>
      <c r="D11" t="str">
        <f>ROUND(mean!D11,3)&amp;"±"&amp;ROUND(std!D11*0.5,3)</f>
        <v>0±0</v>
      </c>
      <c r="E11" t="str">
        <f>ROUND(mean!E11,3)&amp;"±"&amp;ROUND(std!E11*0.5,3)</f>
        <v>0±0</v>
      </c>
      <c r="F11" t="str">
        <f>ROUND(mean!F11,3)&amp;"±"&amp;ROUND(std!F11*0.5,3)</f>
        <v>1±0</v>
      </c>
    </row>
    <row r="12" spans="1:7" x14ac:dyDescent="0.35">
      <c r="A12" s="1" t="s">
        <v>16</v>
      </c>
      <c r="B12" t="str">
        <f>ROUND(mean!B12,3)&amp;"±"&amp;ROUND(std!B12*0.5,3)</f>
        <v>0.688±0.002</v>
      </c>
      <c r="C12" t="str">
        <f>ROUND(mean!C12,3)&amp;"±"&amp;ROUND(std!C12*0.5,3)</f>
        <v>0.687±0.013</v>
      </c>
      <c r="D12" t="str">
        <f>ROUND(mean!D12,3)&amp;"±"&amp;ROUND(std!D12*0.5,3)</f>
        <v>0.35±0.02</v>
      </c>
      <c r="E12" t="str">
        <f>ROUND(mean!E12,3)&amp;"±"&amp;ROUND(std!E12*0.5,3)</f>
        <v>0.086±0.012</v>
      </c>
      <c r="F12" t="str">
        <f>ROUND(mean!F12,3)&amp;"±"&amp;ROUND(std!F12*0.5,3)</f>
        <v>0.97±0.006</v>
      </c>
    </row>
    <row r="13" spans="1:7" x14ac:dyDescent="0.35">
      <c r="A13" s="1" t="s">
        <v>17</v>
      </c>
      <c r="B13" t="str">
        <f>ROUND(mean!B13,3)&amp;"±"&amp;ROUND(std!B13*0.5,3)</f>
        <v>0.684±0.002</v>
      </c>
      <c r="C13" t="str">
        <f>ROUND(mean!C13,3)&amp;"±"&amp;ROUND(std!C13*0.5,3)</f>
        <v>0.665±0.015</v>
      </c>
      <c r="D13" t="str">
        <f>ROUND(mean!D13,3)&amp;"±"&amp;ROUND(std!D13*0.5,3)</f>
        <v>0.336±0.029</v>
      </c>
      <c r="E13" t="str">
        <f>ROUND(mean!E13,3)&amp;"±"&amp;ROUND(std!E13*0.5,3)</f>
        <v>0.072±0.011</v>
      </c>
      <c r="F13" t="str">
        <f>ROUND(mean!F13,3)&amp;"±"&amp;ROUND(std!F13*0.5,3)</f>
        <v>0.97±0.004</v>
      </c>
    </row>
    <row r="14" spans="1:7" x14ac:dyDescent="0.35">
      <c r="A14" s="1" t="s">
        <v>18</v>
      </c>
      <c r="B14" t="str">
        <f>ROUND(mean!B14,3)&amp;"±"&amp;ROUND(std!B14*0.5,3)</f>
        <v>0.687±0</v>
      </c>
      <c r="C14" t="str">
        <f>ROUND(mean!C14,3)&amp;"±"&amp;ROUND(std!C14*0.5,3)</f>
        <v>0.708±0.013</v>
      </c>
      <c r="D14" t="str">
        <f>ROUND(mean!D14,3)&amp;"±"&amp;ROUND(std!D14*0.5,3)</f>
        <v>0±0</v>
      </c>
      <c r="E14" t="str">
        <f>ROUND(mean!E14,3)&amp;"±"&amp;ROUND(std!E14*0.5,3)</f>
        <v>0±0</v>
      </c>
      <c r="F14" t="str">
        <f>ROUND(mean!F14,3)&amp;"±"&amp;ROUND(std!F14*0.5,3)</f>
        <v>1±0</v>
      </c>
    </row>
    <row r="15" spans="1:7" x14ac:dyDescent="0.35">
      <c r="A15" s="1" t="s">
        <v>19</v>
      </c>
      <c r="B15" t="str">
        <f>ROUND(mean!B15,3)&amp;"±"&amp;ROUND(std!B15*0.5,3)</f>
        <v>0.687±0.004</v>
      </c>
      <c r="C15" t="str">
        <f>ROUND(mean!C15,3)&amp;"±"&amp;ROUND(std!C15*0.5,3)</f>
        <v>0.596±0.009</v>
      </c>
      <c r="D15" t="str">
        <f>ROUND(mean!D15,3)&amp;"±"&amp;ROUND(std!D15*0.5,3)</f>
        <v>0.24±0.027</v>
      </c>
      <c r="E15" t="str">
        <f>ROUND(mean!E15,3)&amp;"±"&amp;ROUND(std!E15*0.5,3)</f>
        <v>0.037±0.009</v>
      </c>
      <c r="F15" t="str">
        <f>ROUND(mean!F15,3)&amp;"±"&amp;ROUND(std!F15*0.5,3)</f>
        <v>0.984±0.004</v>
      </c>
    </row>
    <row r="16" spans="1:7" x14ac:dyDescent="0.35">
      <c r="A16" s="1" t="s">
        <v>20</v>
      </c>
      <c r="B16" t="str">
        <f>ROUND(mean!B16,3)&amp;"±"&amp;ROUND(std!B16*0.5,3)</f>
        <v>0.69±0.002</v>
      </c>
      <c r="C16" t="str">
        <f>ROUND(mean!C16,3)&amp;"±"&amp;ROUND(std!C16*0.5,3)</f>
        <v>0.687±0.014</v>
      </c>
      <c r="D16" t="str">
        <f>ROUND(mean!D16,3)&amp;"±"&amp;ROUND(std!D16*0.5,3)</f>
        <v>0.36±0.018</v>
      </c>
      <c r="E16" t="str">
        <f>ROUND(mean!E16,3)&amp;"±"&amp;ROUND(std!E16*0.5,3)</f>
        <v>0.086±0.012</v>
      </c>
      <c r="F16" t="str">
        <f>ROUND(mean!F16,3)&amp;"±"&amp;ROUND(std!F16*0.5,3)</f>
        <v>0.972±0.004</v>
      </c>
    </row>
    <row r="22" spans="1:10" ht="21" x14ac:dyDescent="0.45">
      <c r="A22" s="7" t="s">
        <v>101</v>
      </c>
      <c r="B22" s="4" t="s">
        <v>50</v>
      </c>
      <c r="C22" s="4" t="s">
        <v>97</v>
      </c>
      <c r="D22" s="4" t="s">
        <v>98</v>
      </c>
      <c r="E22" s="4" t="s">
        <v>99</v>
      </c>
      <c r="F22" s="4" t="s">
        <v>100</v>
      </c>
      <c r="J22" t="s">
        <v>53</v>
      </c>
    </row>
    <row r="23" spans="1:10" ht="21" x14ac:dyDescent="0.5">
      <c r="A23" s="5" t="s">
        <v>102</v>
      </c>
      <c r="B23" s="8" t="s">
        <v>23</v>
      </c>
      <c r="C23" s="8" t="s">
        <v>22</v>
      </c>
      <c r="D23" s="8" t="s">
        <v>47</v>
      </c>
      <c r="E23" s="8" t="s">
        <v>71</v>
      </c>
      <c r="F23" s="8" t="s">
        <v>68</v>
      </c>
    </row>
    <row r="24" spans="1:10" ht="21" x14ac:dyDescent="0.5">
      <c r="A24" s="6" t="s">
        <v>7</v>
      </c>
      <c r="B24" s="8" t="s">
        <v>25</v>
      </c>
      <c r="C24" s="8" t="s">
        <v>24</v>
      </c>
      <c r="D24" s="8" t="s">
        <v>48</v>
      </c>
      <c r="E24" s="8" t="s">
        <v>52</v>
      </c>
      <c r="F24" s="8" t="s">
        <v>27</v>
      </c>
    </row>
    <row r="25" spans="1:10" ht="21" x14ac:dyDescent="0.5">
      <c r="A25" s="5" t="s">
        <v>8</v>
      </c>
      <c r="B25" s="8" t="s">
        <v>29</v>
      </c>
      <c r="C25" s="8" t="s">
        <v>28</v>
      </c>
      <c r="D25" s="8" t="s">
        <v>60</v>
      </c>
      <c r="E25" s="8" t="s">
        <v>73</v>
      </c>
      <c r="F25" s="8" t="s">
        <v>51</v>
      </c>
    </row>
    <row r="26" spans="1:10" ht="21" x14ac:dyDescent="0.5">
      <c r="A26" s="6" t="s">
        <v>9</v>
      </c>
      <c r="B26" s="8" t="s">
        <v>30</v>
      </c>
      <c r="C26" s="8" t="s">
        <v>22</v>
      </c>
      <c r="D26" s="8" t="s">
        <v>63</v>
      </c>
      <c r="E26" s="8" t="s">
        <v>70</v>
      </c>
      <c r="F26" s="8" t="s">
        <v>55</v>
      </c>
    </row>
    <row r="27" spans="1:10" ht="21" x14ac:dyDescent="0.5">
      <c r="A27" s="5" t="s">
        <v>103</v>
      </c>
      <c r="B27" s="8" t="s">
        <v>62</v>
      </c>
      <c r="C27" s="8" t="s">
        <v>31</v>
      </c>
      <c r="D27" s="8" t="s">
        <v>64</v>
      </c>
      <c r="E27" s="8" t="s">
        <v>65</v>
      </c>
      <c r="F27" s="8" t="s">
        <v>83</v>
      </c>
    </row>
    <row r="28" spans="1:10" ht="21" x14ac:dyDescent="0.5">
      <c r="A28" s="6" t="s">
        <v>104</v>
      </c>
      <c r="B28" s="8" t="s">
        <v>33</v>
      </c>
      <c r="C28" s="8" t="s">
        <v>32</v>
      </c>
      <c r="D28" s="8" t="s">
        <v>49</v>
      </c>
      <c r="E28" s="8" t="s">
        <v>66</v>
      </c>
      <c r="F28" s="8" t="s">
        <v>67</v>
      </c>
      <c r="G28" s="3"/>
    </row>
    <row r="29" spans="1:10" ht="21" x14ac:dyDescent="0.5">
      <c r="A29" s="5" t="s">
        <v>105</v>
      </c>
      <c r="B29" s="8" t="s">
        <v>34</v>
      </c>
      <c r="C29" s="8" t="s">
        <v>56</v>
      </c>
      <c r="D29" s="8" t="s">
        <v>72</v>
      </c>
      <c r="E29" s="8" t="s">
        <v>74</v>
      </c>
      <c r="F29" s="8" t="s">
        <v>69</v>
      </c>
    </row>
    <row r="30" spans="1:10" ht="21" x14ac:dyDescent="0.5">
      <c r="A30" s="6" t="s">
        <v>13</v>
      </c>
      <c r="B30" s="8" t="s">
        <v>36</v>
      </c>
      <c r="C30" s="8" t="s">
        <v>57</v>
      </c>
      <c r="D30" s="8" t="s">
        <v>77</v>
      </c>
      <c r="E30" s="8" t="s">
        <v>75</v>
      </c>
      <c r="F30" s="8" t="s">
        <v>82</v>
      </c>
    </row>
    <row r="31" spans="1:10" ht="21" x14ac:dyDescent="0.5">
      <c r="A31" s="5" t="s">
        <v>14</v>
      </c>
      <c r="B31" s="8" t="s">
        <v>37</v>
      </c>
      <c r="C31" s="8" t="s">
        <v>58</v>
      </c>
      <c r="D31" s="8" t="s">
        <v>26</v>
      </c>
      <c r="E31" s="8" t="s">
        <v>76</v>
      </c>
      <c r="F31" s="8" t="s">
        <v>78</v>
      </c>
    </row>
    <row r="32" spans="1:10" ht="21" x14ac:dyDescent="0.5">
      <c r="A32" s="6" t="s">
        <v>15</v>
      </c>
      <c r="B32" s="8" t="s">
        <v>39</v>
      </c>
      <c r="C32" s="8" t="s">
        <v>38</v>
      </c>
      <c r="D32" s="8" t="s">
        <v>79</v>
      </c>
      <c r="E32" s="8" t="s">
        <v>80</v>
      </c>
      <c r="F32" s="8" t="s">
        <v>81</v>
      </c>
    </row>
    <row r="33" spans="1:6" ht="21" x14ac:dyDescent="0.5">
      <c r="A33" s="5" t="s">
        <v>106</v>
      </c>
      <c r="B33" s="8" t="s">
        <v>41</v>
      </c>
      <c r="C33" s="8" t="s">
        <v>40</v>
      </c>
      <c r="D33" s="8" t="s">
        <v>42</v>
      </c>
      <c r="E33" s="8" t="s">
        <v>84</v>
      </c>
      <c r="F33" s="8" t="s">
        <v>85</v>
      </c>
    </row>
    <row r="34" spans="1:6" ht="21" x14ac:dyDescent="0.5">
      <c r="A34" s="6" t="s">
        <v>107</v>
      </c>
      <c r="B34" s="8" t="s">
        <v>43</v>
      </c>
      <c r="C34" s="8" t="s">
        <v>59</v>
      </c>
      <c r="D34" s="8" t="s">
        <v>44</v>
      </c>
      <c r="E34" s="8" t="s">
        <v>86</v>
      </c>
      <c r="F34" s="8" t="s">
        <v>87</v>
      </c>
    </row>
    <row r="35" spans="1:6" ht="21" x14ac:dyDescent="0.5">
      <c r="A35" s="5" t="s">
        <v>108</v>
      </c>
      <c r="B35" s="8" t="s">
        <v>45</v>
      </c>
      <c r="C35" s="8" t="s">
        <v>35</v>
      </c>
      <c r="D35" s="8" t="s">
        <v>88</v>
      </c>
      <c r="E35" s="8" t="s">
        <v>89</v>
      </c>
      <c r="F35" s="8" t="s">
        <v>90</v>
      </c>
    </row>
    <row r="36" spans="1:6" ht="21" x14ac:dyDescent="0.5">
      <c r="A36" s="6" t="s">
        <v>19</v>
      </c>
      <c r="B36" s="8" t="s">
        <v>46</v>
      </c>
      <c r="C36" s="8" t="s">
        <v>91</v>
      </c>
      <c r="D36" s="8" t="s">
        <v>92</v>
      </c>
      <c r="E36" s="8" t="s">
        <v>93</v>
      </c>
      <c r="F36" s="8" t="s">
        <v>94</v>
      </c>
    </row>
    <row r="37" spans="1:6" ht="21" x14ac:dyDescent="0.5">
      <c r="A37" s="5" t="s">
        <v>109</v>
      </c>
      <c r="B37" s="9" t="s">
        <v>61</v>
      </c>
      <c r="C37" s="9" t="s">
        <v>96</v>
      </c>
      <c r="D37" s="9" t="s">
        <v>54</v>
      </c>
      <c r="E37" s="9" t="s">
        <v>95</v>
      </c>
      <c r="F37" s="9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方轩固</cp:lastModifiedBy>
  <dcterms:created xsi:type="dcterms:W3CDTF">2022-07-24T13:38:22Z</dcterms:created>
  <dcterms:modified xsi:type="dcterms:W3CDTF">2022-10-04T21:33:47Z</dcterms:modified>
</cp:coreProperties>
</file>